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ounts" sheetId="1" state="visible" r:id="rId3"/>
    <sheet name="Counts_2" sheetId="2" state="visible" r:id="rId4"/>
    <sheet name="Details" sheetId="3" state="visible" r:id="rId5"/>
    <sheet name="Sheet4"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<sst xmlns="http://schemas.openxmlformats.org/spreadsheetml/2006/main" count="180" uniqueCount="83">
  <si>
    <t xml:space="preserve">Teil_C_Deutsch_2024_02_28.pdf</t>
  </si>
  <si>
    <t xml:space="preserve">Teil_C_DGS_2015_11_16.pdf</t>
  </si>
  <si>
    <t xml:space="preserve">Teil_C_Gesellschaftswissenschaften_2015_11_10.pdf</t>
  </si>
  <si>
    <t xml:space="preserve">Teil_C_Kunst_2015_11_10.pdf</t>
  </si>
  <si>
    <t xml:space="preserve">Teil_C_L-E-R_2015_11_10.pdf</t>
  </si>
  <si>
    <t xml:space="preserve">Teil_C_Latein_2015_11_10.pdf</t>
  </si>
  <si>
    <t xml:space="preserve">Teil_C_Mathematik_2015_10_13_Ma_14.08.2023_Berlin_23_11.pdf</t>
  </si>
  <si>
    <t xml:space="preserve">Teil_C_Mod_Fremdsprachen_2024_06_17.pdf</t>
  </si>
  <si>
    <t xml:space="preserve">Teil_C_Musik_2015_11_16.pdf</t>
  </si>
  <si>
    <t xml:space="preserve">Teil_C_Nawi_5-6_2015_11_16.pdf</t>
  </si>
  <si>
    <t xml:space="preserve">Teil_C_Sachunterricht_2015_11_16.pdf</t>
  </si>
  <si>
    <t xml:space="preserve">Teil_C_Sport_2015_11_16.pdf</t>
  </si>
  <si>
    <t xml:space="preserve">Teil_C_WAT_2015_11_10.pdf</t>
  </si>
  <si>
    <t xml:space="preserve">AI chances and risks</t>
  </si>
  <si>
    <t xml:space="preserve">AI decision making</t>
  </si>
  <si>
    <t xml:space="preserve">AI Ethics</t>
  </si>
  <si>
    <t xml:space="preserve">AI recognition</t>
  </si>
  <si>
    <t xml:space="preserve">AI training data</t>
  </si>
  <si>
    <t xml:space="preserve">AI working principles</t>
  </si>
  <si>
    <t xml:space="preserve">Algorithmic Thinking</t>
  </si>
  <si>
    <t xml:space="preserve">analyze/interpret data</t>
  </si>
  <si>
    <t xml:space="preserve">Evaluate AI impact</t>
  </si>
  <si>
    <t xml:space="preserve">Pattern recognition</t>
  </si>
  <si>
    <t xml:space="preserve">reflect data</t>
  </si>
  <si>
    <t xml:space="preserve">Responsible AI use</t>
  </si>
  <si>
    <t xml:space="preserve">Role of humans</t>
  </si>
  <si>
    <t xml:space="preserve">Societal roles of AI</t>
  </si>
  <si>
    <t xml:space="preserve">use of sensors</t>
  </si>
  <si>
    <t xml:space="preserve">not mentioned</t>
  </si>
  <si>
    <t xml:space="preserve">First language</t>
  </si>
  <si>
    <t xml:space="preserve">Social sciences</t>
  </si>
  <si>
    <t xml:space="preserve">Math</t>
  </si>
  <si>
    <t xml:space="preserve">Modern foreign languages</t>
  </si>
  <si>
    <t xml:space="preserve">Natural sciences</t>
  </si>
  <si>
    <t xml:space="preserve">Environmental sciences</t>
  </si>
  <si>
    <t xml:space="preserve">Economics-Work-Technology</t>
  </si>
  <si>
    <t xml:space="preserve">TOTAL</t>
  </si>
  <si>
    <t xml:space="preserve">CT</t>
  </si>
  <si>
    <t xml:space="preserve">CA</t>
  </si>
  <si>
    <t xml:space="preserve">DL</t>
  </si>
  <si>
    <t xml:space="preserve">PA</t>
  </si>
  <si>
    <t xml:space="preserve">TU</t>
  </si>
  <si>
    <t xml:space="preserve">Code:AI chances and risks File/Case: Teil_C_Deutsch_2024_02_28.pdf
Pos0: 62674 - Pos1: 62745
sich kritisch mit digitalen Formaten und Umgebungen auseinandersetzen 
========
</t>
  </si>
  <si>
    <t xml:space="preserve">Code:AI chances and risks File/Case: Teil_C_Gesellschaftswissenschaften_2015_11_10.pdf
Pos0: 74840 - Pos1: 74918
Chancen und Gefahren (Recher- chieren, Kommunizieren, Spielen,  Manipulieren) 
========
Code:AI chances and risks File/Case: Teil_C_Gesellschaftswissenschaften_2015_11_10.pdf
Pos0: 73337 - Pos1: 74111
Jede Erfindung und Nutzung neuer Medien hat, von der Erfindung der Schrift angefangen,  in der Menschheitsgeschichte deutliche Veränderungen auf vielen Ebenen bewirkt (z. B. in  Gesellschaft, Kultur, Politik und Wirtschaft). Den Entwicklungsschritten und ihren Wirkungen  wie  auch  den  Veränderungen,  die  im  Leben  der  Menschen  jeweils  zu  beobachten  waren  und sind, wird mit diesem Themenfeld nachgegangen. Deutlich wird dabei in Vergangenheit  und Gegenwart, dass Vorteile und Chancen wie auch Nachteile und Gefahren dazugehören,  die  kritisch  einzuschätzen  und  abzuwägen  sind.  Der  Umgang  mit  den  modernen  und  sich  ständig  weiter  verändernden  Medien  wird  hier  auch  aus  der  Perspektive  der  Lernenden   betrachtet, erprobt und ausgewertet. 
========
</t>
  </si>
  <si>
    <t xml:space="preserve">Code:AI chances and risks File/Case: Teil_C_Sachunterricht_2015_11_16.pdf
Pos0: 49469 - Pos1: 49534
–  Auswirkungen technischer Entwicklungen beispielhaft bewerten, 
========
Code:AI chances and risks File/Case: Teil_C_Sachunterricht_2015_11_16.pdf
Pos0: 49195 - Pos1: 49279
Technik nutzen, explorieren und experimentieren, technische Lösungen   vergleichen, 
========
</t>
  </si>
  <si>
    <t xml:space="preserve">Code:AI decision making File/Case: Teil_C_Nawi_5-6_2015_11_16.pdf
Pos0: 11807 - Pos1: 12401
Die Arbeit mit Modellen ist ein wichtiger Teil des naturwissenschaftlichen Unterrichts. Es wird  thematisiert,  welche  Erklärungen  mit  diesem  Modell  im  naturwissenschaftlichen  Erkenntnis- prozess möglich sind und was es veranschaulichen soll.   Bei  der  Auseinandersetzung  mit  Modellen  sollte  ihre  prinzipielle  Begrenztheit  erfahrbar   werden  (Modellkritik).  Die  Lernenden  erkennen  anhand  von  Widersprüchen,  dass  Modelle  keine Beweiskraft besitzen. Modelle helfen jedoch, sich eine Vorstellung von der Wirklichkeit  zu machen, die der Anschauung nicht zugänglich ist.  
========
</t>
  </si>
  <si>
    <t xml:space="preserve">Code:AI Ethics File/Case: Teil_C_WAT_2015_11_10.pdf
Pos0: 39103 - Pos1: 39174
die Bedeutung der Scho- nung von Ressourcen beim  Produzieren darlegen 
========
</t>
  </si>
  <si>
    <t xml:space="preserve">Code:AI training data File/Case: Teil_C_Sachunterricht_2015_11_16.pdf
Pos0: 29747 - Pos1: 29811
angeben, woher oder von  wem sie Informationen ge- wonnen haben 
========
Code:AI training data File/Case: Teil_C_Sachunterricht_2015_11_16.pdf
Pos0: 29016 - Pos1: 29065
ilden   Andere Standpunkte  wahrnehmen  Medien un
========
</t>
  </si>
  <si>
    <t xml:space="preserve">Code:AI working principles File/Case: Teil_C_Nawi_5-6_2015_11_16.pdf
Pos0: 58875 - Pos1: 58966
und elektrischen Bauteilen. Ihre Baupläne weisen Ähnlichkeiten zur Darstellung von Funkti-
========
Code:AI working principles File/Case: Teil_C_Nawi_5-6_2015_11_16.pdf
Pos0: 32242 - Pos1: 32493
Mit Modellen umgehen  Nutzung  Testen  Ändern  Die Schülerinnen und Schüler können  C  D  mit Modellen naturwissen- schaftliche Sachverhalte  beschreiben  Modelle bezüglich ihrer  Einsatzmöglichkeiten   prüfen  Modelle bezüglich ihrer  Eignung prüfen 
========
</t>
  </si>
  <si>
    <t xml:space="preserve">Code:Algorithmic Thinking File/Case: Teil_C_Mathematik_2015_10_13_Ma_14.08.2023_Berlin_23_11.pdf
Pos0: 52001 - Pos1: 52107
wenden Algorithmen und das Zerlegen und Lösen von Problemen im Sinne der  informatischen Grundbildung an, 
========
Code:Algorithmic Thinking File/Case: Teil_C_Mathematik_2015_10_13_Ma_14.08.2023_Berlin_23_11.pdf
Pos0: 120366 - Pos1: 120455
Herstellen geometrischer  und arithmetischer Muster  nach vorgegebenen   Bildungsregeln  
========
Code:Algorithmic Thinking File/Case: Teil_C_Mathematik_2015_10_13_Ma_14.08.2023_Berlin_23_11.pdf
Pos0: 135030 - Pos1: 135144
systematisches Durcharbeiten von  Möglichkeiten und entsprechende Auswertung  zu kombinatorischen Fragestellungen 
========
Code:Algorithmic Thinking File/Case: Teil_C_Mathematik_2015_10_13_Ma_14.08.2023_Berlin_23_11.pdf
Pos0: 120986 - Pos1: 121096
Verwenden der Bildungsregeln  von arithmetischen und  geometrischen Mustern zum  Finden von weiteren Elementen
========
</t>
  </si>
  <si>
    <t xml:space="preserve">Code:Algorithmic Thinking File/Case: Teil_C_Sachunterricht_2015_11_16.pdf
Pos0: 49538 - Pos1: 49674
Mediennutzungsmöglichkeiten (Kommunizieren, Spielen, Arbeiten, Gestalten und   Programmieren) anwenden und untersuchen (Medienbildung), 
========
</t>
  </si>
  <si>
    <t xml:space="preserve">Code:analyze/interpret data File/Case: Teil_C_Mathematik_2015_10_13_Ma_14.08.2023_Berlin_23_11.pdf
Pos0: 52111 - Pos1: 52242
strukturieren Informationen, stellen sie in unterschiedlichen Repräsentationen dar und  C Mathematik  interpretieren sie kritisch. 
========
Code:analyze/interpret data File/Case: Teil_C_Mathematik_2015_10_13_Ma_14.08.2023_Berlin_23_11.pdf
Pos0: 135371 - Pos1: 135546
systematisches Durcharbeiten und Begründen  der Vollständigkeit einer Lösung bei  kombinatorischen Fragestellungen   (z. B. durch systematisches Aufzählen der  Möglichkeiten) 
========
</t>
  </si>
  <si>
    <t xml:space="preserve">Code:Evaluate AI impact File/Case: Teil_C_Deutsch_2024_02_28.pdf
Pos0: 62817 - Pos1: 62954
Nutzungsformen digitaler Formate und Umgebungen unterscheiden und 
Zusammenhänge zwischen Intentionen, Gestaltung und Wirkung herstellen 
========
Code:Evaluate AI impact File/Case: Teil_C_Deutsch_2024_02_28.pdf
Pos0: 62745 - Pos1: 62816
digitale Werkzeuge für die Gestaltung eigener medialer Produkte nutzen 
========
Code:Evaluate AI impact File/Case: Teil_C_Deutsch_2024_02_28.pdf
Pos0: 62606 - Pos1: 62674
ihre Erfahrungen mit digitalen Formaten und Umgebungen beschreiben 
========
</t>
  </si>
  <si>
    <t xml:space="preserve">Code:Evaluate AI impact File/Case: Teil_C_Gesellschaftswissenschaften_2015_11_10.pdf
Pos0: 74813 - Pos1: 74826
Nutzung des 
========
Code:Evaluate AI impact File/Case: Teil_C_Gesellschaftswissenschaften_2015_11_10.pdf
Pos0: 73337 - Pos1: 74111
Jede Erfindung und Nutzung neuer Medien hat, von der Erfindung der Schrift angefangen,  in der Menschheitsgeschichte deutliche Veränderungen auf vielen Ebenen bewirkt (z. B. in  Gesellschaft, Kultur, Politik und Wirtschaft). Den Entwicklungsschritten und ihren Wirkungen  wie  auch  den  Veränderungen,  die  im  Leben  der  Menschen  jeweils  zu  beobachten  waren  und sind, wird mit diesem Themenfeld nachgegangen. Deutlich wird dabei in Vergangenheit  und Gegenwart, dass Vorteile und Chancen wie auch Nachteile und Gefahren dazugehören,  die  kritisch  einzuschätzen  und  abzuwägen  sind.  Der  Umgang  mit  den  modernen  und  sich  ständig  weiter  verändernden  Medien  wird  hier  auch  aus  der  Perspektive  der  Lernenden   betrachtet, erprobt und ausgewertet. 
========
Code:Evaluate AI impact File/Case: Teil_C_Gesellschaftswissenschaften_2015_11_10.pdf
Pos0: 31833 - Pos1: 32091
historische Kontinuität und  Veränderungen am Bei- spiel eines konkreten   Aspekts beschreiben   (früher – danach – heute)  nach Ursachen fragen und  sie diskutieren  die Bedeutsamkeit histori- scher Veränderungen für  das Leben in der Gegen- wart erläutern 
========
Code:Evaluate AI impact File/Case: Teil_C_Gesellschaftswissenschaften_2015_11_10.pdf
Pos0: 35397 - Pos1: 35647
Vorschläge zur   Informationsbe- schaffung und zum  Vorgehen formulie- ren  Informationen aus  unterschiedlichen  Medien und Materi- alien herausfinden  Medien und Materi- alien (z. B. Bilder,  Karten) nach vor- gegebenen Schritt- folgen untersuchen 
========
</t>
  </si>
  <si>
    <t xml:space="preserve">Code:Evaluate AI impact File/Case: Teil_C_Mod_Fremdsprachen_2024_06_17.pdf
Pos0: 15280 - Pos1: 15475
Durch die Digitalisierung sind Werkzeuge für die (fremd-)sprachliche Kommunika- tion entstanden. Die Beurteilung von Werkzeugleistungen gewinnt für das Gelingen von Kom- munikation an Bedeutung. 
========
Code:Evaluate AI impact File/Case: Teil_C_Mod_Fremdsprachen_2024_06_17.pdf
Pos0: 36780 - Pos1: 36855
Hörtexten und audiovisuellen Texten zurückgreifen, ggf. mit Hinweisen und 
========
Code:Evaluate AI impact File/Case: Teil_C_Mod_Fremdsprachen_2024_06_17.pdf
Pos0: 41549 - Pos1: 41667
auf ausgewählte, ihnen vertraute (digitale) Werkzeuge beim Lesen zurückgreifen, ggf. mit  Hinweisen und Unterstützung 
========
Code:Evaluate AI impact File/Case: Teil_C_Mod_Fremdsprachen_2024_06_17.pdf
Pos0: 44535 - Pos1: 44653
auf einfache, ausgewählte, ihnen vertraute (digitale) Werkzeuge zurückgreifen, ggf. mit  Hinweisen und Unterstützung  
========
Code:Evaluate AI impact File/Case: Teil_C_Mod_Fremdsprachen_2024_06_17.pdf
Pos0: 47507 - Pos1: 47643
auf einfache, ausgewählte, vertraute (digitale) Werkzeuge zurückgreifen, ggf. mit   Hinweisen und Unterstützung  [orientiert an A1/GeR] 
========
Code:Evaluate AI impact File/Case: Teil_C_Mod_Fremdsprachen_2024_06_17.pdf
Pos0: 53058 - Pos1: 53114
angeleitet auf mediale (digitale) Hilfen zurückgreifen  
========
Code:Evaluate AI impact File/Case: Teil_C_Mod_Fremdsprachen_2024_06_17.pdf
Pos0: 59618 - Pos1: 59726
bekannte digitale und analoge Medien zur Informationsbeschaffung und Textproduktion  unter Anleitung nutzen 
========
Code:Evaluate AI impact File/Case: Teil_C_Mod_Fremdsprachen_2024_06_17.pdf
Pos0: 65059 - Pos1: 65276
Strategien der Sprachproduktion und -rezeption kennen und aufgabenbezogen einsetzen  (z. B. selektives Lesen, Kompensationsstrategien, Strategien zum Umgang mit Nicht- verstehen, Nutzung von (digitalen) Hilfsmitteln) 
========
Code:Evaluate AI impact File/Case: Teil_C_Mod_Fremdsprachen_2024_06_17.pdf
Pos0: 72382 - Pos1: 72411
Basiscurriculum Medienbildung
========
Code:Evaluate AI impact File/Case: Teil_C_Mod_Fremdsprachen_2024_06_17.pdf
Pos0: 72980 - Pos1: 73015
   gesellschaftliches Engagement  
========
</t>
  </si>
  <si>
    <t xml:space="preserve">Code:Evaluate AI impact File/Case: Teil_C_Nawi_5-6_2015_11_16.pdf
Pos0: 5849 - Pos1: 6059
Schülerinnen  und  Schüler  üben  im  Unterricht  nicht  nur  die  kompetente  Nutzung,  sondern  auch  einen  kritischen  Umgang  mit  Medien  im  Blick auf die Herkunft und Verlässlichkeit von Informationen. 
========
Code:Evaluate AI impact File/Case: Teil_C_Nawi_5-6_2015_11_16.pdf
Pos0: 32242 - Pos1: 32492
Mit Modellen umgehen  Nutzung  Testen  Ändern  Die Schülerinnen und Schüler können  C  D  mit Modellen naturwissen- schaftliche Sachverhalte  beschreiben  Modelle bezüglich ihrer  Einsatzmöglichkeiten   prüfen  Modelle bezüglich ihrer  Eignung prüfen
========
Code:Evaluate AI impact File/Case: Teil_C_Nawi_5-6_2015_11_16.pdf
Pos0: 11807 - Pos1: 12401
Die Arbeit mit Modellen ist ein wichtiger Teil des naturwissenschaftlichen Unterrichts. Es wird  thematisiert,  welche  Erklärungen  mit  diesem  Modell  im  naturwissenschaftlichen  Erkenntnis- prozess möglich sind und was es veranschaulichen soll.   Bei  der  Auseinandersetzung  mit  Modellen  sollte  ihre  prinzipielle  Begrenztheit  erfahrbar   werden  (Modellkritik).  Die  Lernenden  erkennen  anhand  von  Widersprüchen,  dass  Modelle  keine Beweiskraft besitzen. Modelle helfen jedoch, sich eine Vorstellung von der Wirklichkeit  zu machen, die der Anschauung nicht zugänglich ist.  
========
Code:Evaluate AI impact File/Case: Teil_C_Nawi_5-6_2015_11_16.pdf
Pos0: 35480 - Pos1: 35648
2.4.3  Werte und Normen reflektieren  Werte und Normen  Sicherheits- und Verhaltensregeln  Die Schülerinnen und Schüler können  C  eine wertende Aussage formulieren  D 
========
</t>
  </si>
  <si>
    <t xml:space="preserve">Code:Evaluate AI impact File/Case: Teil_C_Sachunterricht_2015_11_16.pdf
Pos0: 49195 - Pos1: 49279
Technik nutzen, explorieren und experimentieren, technische Lösungen   vergleichen, 
========
Code:Evaluate AI impact File/Case: Teil_C_Sachunterricht_2015_11_16.pdf
Pos0: 49538 - Pos1: 49674
Mediennutzungsmöglichkeiten (Kommunizieren, Spielen, Arbeiten, Gestalten und   Programmieren) anwenden und untersuchen (Medienbildung), 
========
Code:Evaluate AI impact File/Case: Teil_C_Sachunterricht_2015_11_16.pdf
Pos0: 29812 - Pos1: 29898
das eigene Lern- und   Arbeitsverhalten anhand  von vorgegebenen   Kriterien bewerten 
========
Code:Evaluate AI impact File/Case: Teil_C_Sachunterricht_2015_11_16.pdf
Pos0: 29016 - Pos1: 29065
ilden   Andere Standpunkte  wahrnehmen  Medien un
========
</t>
  </si>
  <si>
    <t xml:space="preserve">Code:Evaluate AI impact File/Case: Teil_C_WAT_2015_11_10.pdf
Pos0: 44799 - Pos1: 44909
die Qualität eigener Arbeitsergebnisse,  
die unter Technikeinsatz erzielt wurden,  
benennen und beschreiben 
========
</t>
  </si>
  <si>
    <t xml:space="preserve">Code:Pattern recognition File/Case: Teil_C_Mathematik_2015_10_13_Ma_14.08.2023_Berlin_23_11.pdf
Pos0: 65297 - Pos1: 65355
Bildungsregeln für Zuord-  nungen und Muster  beschreiben 
========
Code:Pattern recognition File/Case: Teil_C_Mathematik_2015_10_13_Ma_14.08.2023_Berlin_23_11.pdf
Pos0: 119942 - Pos1: 120026
Nachlegen, Nachbauen und  Ausmalen einer Folge   geometrischer Muster nach  Vorlage 
========
Code:Pattern recognition File/Case: Teil_C_Mathematik_2015_10_13_Ma_14.08.2023_Berlin_23_11.pdf
Pos0: 120027 - Pos1: 120135
Ausfüllen von Lücken bei  einfachen Folgen gegebener  geometrischer Muster durch  Legen, Bauen und Ausmalen 
========
Code:Pattern recognition File/Case: Teil_C_Mathematik_2015_10_13_Ma_14.08.2023_Berlin_23_11.pdf
Pos0: 120136 - Pos1: 120248
Erkennen und Beschreiben von  geometrischen und  arithmetischen Mustern   (z. B. strukturierte  Rechenpäckchen) 
========
Code:Pattern recognition File/Case: Teil_C_Mathematik_2015_10_13_Ma_14.08.2023_Berlin_23_11.pdf
Pos0: 120517 - Pos1: 120639
Fortsetzen von einfachen  Zahlenfolgen (z. B. Malfolgen) und  strukturierten Rechenpäckchen  sowie geometrischen Mustern  
========
Code:Pattern recognition File/Case: Teil_C_Mathematik_2015_10_13_Ma_14.08.2023_Berlin_23_11.pdf
Pos0: 120640 - Pos1: 120735
Analysieren und Beschreiben der  Bildungsregeln von  arithmetischen und  geometrischen Mustern 
========
Code:Pattern recognition File/Case: Teil_C_Mathematik_2015_10_13_Ma_14.08.2023_Berlin_23_11.pdf
Pos0: 120862 - Pos1: 120935
Darstellen von Folgen  geometrischer Muster   (z. B. durch Zahlenfolgen) 
========
Code:Pattern recognition File/Case: Teil_C_Mathematik_2015_10_13_Ma_14.08.2023_Berlin_23_11.pdf
Pos0: 132548 - Pos1: 132623
Sortieren von Objekten mit  gleichen Eigenschaften wie  Farbe, Form, Größe 
========
Code:Pattern recognition File/Case: Teil_C_Mathematik_2015_10_13_Ma_14.08.2023_Berlin_23_11.pdf
Pos0: 132474 - Pos1: 132547
Erkennen von Objekten mit  bestimmten Eigenschaften wie  Farbe und Form  
========
Code:Pattern recognition File/Case: Teil_C_Mathematik_2015_10_13_Ma_14.08.2023_Berlin_23_11.pdf
Pos0: 120986 - Pos1: 121096
Verwenden der Bildungsregeln  von arithmetischen und  geometrischen Mustern zum  Finden von weiteren Elementen
========
</t>
  </si>
  <si>
    <t xml:space="preserve">Code:reflect data File/Case: Teil_C_Gesellschaftswissenschaften_2015_11_10.pdf
Pos0: 37265 - Pos1: 37327
angeben, woher oder von wem sie Informationen gewonnen haben  
========
</t>
  </si>
  <si>
    <t xml:space="preserve">Code:reflect data File/Case: Teil_C_Mathematik_2015_10_13_Ma_14.08.2023_Berlin_23_11.pdf
Pos0: 51787 - Pos1: 51972
nutzen analoge und digitale mathematikspezifische Werkzeuge (z. B. zum räumlichen  Vorstellungsvermögen, zur Darstellung von Daten), um mathematische Sachverhalte  zu veranschaulichen, 
========
Code:reflect data File/Case: Teil_C_Mathematik_2015_10_13_Ma_14.08.2023_Berlin_23_11.pdf
Pos0: 52111 - Pos1: 52242
strukturieren Informationen, stellen sie in unterschiedlichen Repräsentationen dar und  C Mathematik  interpretieren sie kritisch. 
========
Code:reflect data File/Case: Teil_C_Mathematik_2015_10_13_Ma_14.08.2023_Berlin_23_11.pdf
Pos0: 67977 - Pos1: 68011
Daten sammeln und   strukturieren 
========
Code:reflect data File/Case: Teil_C_Mathematik_2015_10_13_Ma_14.08.2023_Berlin_23_11.pdf
Pos0: 67421 - Pos1: 67472
verschiedene  Darstellungsformen für  Daten nutzen 
========
Code:reflect data File/Case: Teil_C_Mathematik_2015_10_13_Ma_14.08.2023_Berlin_23_11.pdf
Pos0: 67591 - Pos1: 67667
Informationen/Kennwerte  aus verschiedenen  Darstellungsformen  vergleichen 
========
Code:reflect data File/Case: Teil_C_Mathematik_2015_10_13_Ma_14.08.2023_Berlin_23_11.pdf
Pos0: 132821 - Pos1: 132903
Ordnen von gesammelten  Daten nach vorgegebenen  Merkmalen  (z. B. Junge/Mädchen) 
========
Code:reflect data File/Case: Teil_C_Mathematik_2015_10_13_Ma_14.08.2023_Berlin_23_11.pdf
Pos0: 133132 - Pos1: 133281
Darstellen von Datenmengen  (auch in Balkendiagrammen)  Wechsel von Darstellungs- formen (Tabelle, Diagramm,  Text), auch mit digitalen  Werkzeugen  
========
Code:reflect data File/Case: Teil_C_Mathematik_2015_10_13_Ma_14.08.2023_Berlin_23_11.pdf
Pos0: 133430 - Pos1: 133493
Lesen von Strichlisten und  Tabellen (mit einer  Eigenschaft)  
========
Code:reflect data File/Case: Teil_C_Mathematik_2015_10_13_Ma_14.08.2023_Berlin_23_11.pdf
Pos0: 133494 - Pos1: 133571
Ablesen und Nennen von  Informationen aus Listen,  Diagrammen und Kalendern  
========
Code:reflect data File/Case: Teil_C_Mathematik_2015_10_13_Ma_14.08.2023_Berlin_23_11.pdf
Pos0: 133572 - Pos1: 133653
Ablesen, Vergleichen und in  Beziehung setzen einzelner  Werte einer Darstellung 
========
Code:reflect data File/Case: Teil_C_Mathematik_2015_10_13_Ma_14.08.2023_Berlin_23_11.pdf
Pos0: 133728 - Pos1: 133875
Vergleichen der Darstellung  und des Informationsgehalts  von Urlisten, Tabellen,  Diagrammen und Schau-  bildern (auch zum gleichen  Sachverhalt) 
========
Code:reflect data File/Case: Teil_C_Mathematik_2015_10_13_Ma_14.08.2023_Berlin_23_11.pdf
Pos0: 133876 - Pos1: 133961
Erfassen und Strukturieren  von selbst erhobenen  Messwerten   (auch Dezimalzahlen)  
========
Code:reflect data File/Case: Teil_C_Mathematik_2015_10_13_Ma_14.08.2023_Berlin_23_11.pdf
Pos0: 133965 - Pos1: 134095
Darstellen von Messwerten in  Tabellen und Diagrammen   Aufbereiten und Präsentieren  von Daten in geeigneten  Darstellungsformen 
========
Code:reflect data File/Case: Teil_C_Mathematik_2015_10_13_Ma_14.08.2023_Berlin_23_11.pdf
Pos0: 134096 - Pos1: 134232
Ermitteln und Vergleichen von  Kennwerten (auch Minimum,  Maximum und Spannweite)  sowie Informationen aus  verschiedenen Darstellungen 
========
Code:reflect data File/Case: Teil_C_Mathematik_2015_10_13_Ma_14.08.2023_Berlin_23_11.pdf
Pos0: 135145 - Pos1: 135370
Auswählen zwischen verschiedenen  Möglichkeiten der Darstellung von Lösungen  zu kombinatorischen Fragestellungen   (z. B. Anordnungen von Bildern, Worten oder  Symbolen in Listen, Tabellen oder  vorgegebenen Baumdiagrammen) 
========
</t>
  </si>
  <si>
    <t xml:space="preserve">Code:reflect data File/Case: Teil_C_Nawi_5-6_2015_11_16.pdf
Pos0: 33971 - Pos1: 34059
Daten strukturieren  und Tabellen,  Schaubilder und  Diagramme nach  Vorgabe darstellen 
========
</t>
  </si>
  <si>
    <t xml:space="preserve">Code:Responsible AI use File/Case: Teil_C_Nawi_5-6_2015_11_16.pdf
Pos0: 5849 - Pos1: 6059
Schülerinnen  und  Schüler  üben  im  Unterricht  nicht  nur  die  kompetente  Nutzung,  sondern  auch  einen  kritischen  Umgang  mit  Medien  im  Blick auf die Herkunft und Verlässlichkeit von Informationen. 
========
</t>
  </si>
  <si>
    <t xml:space="preserve">Code:Societal roles of AI File/Case: Teil_C_Gesellschaftswissenschaften_2015_11_10.pdf
Pos0: 73337 - Pos1: 74111
Jede Erfindung und Nutzung neuer Medien hat, von der Erfindung der Schrift angefangen,  in der Menschheitsgeschichte deutliche Veränderungen auf vielen Ebenen bewirkt (z. B. in  Gesellschaft, Kultur, Politik und Wirtschaft). Den Entwicklungsschritten und ihren Wirkungen  wie  auch  den  Veränderungen,  die  im  Leben  der  Menschen  jeweils  zu  beobachten  waren  und sind, wird mit diesem Themenfeld nachgegangen. Deutlich wird dabei in Vergangenheit  und Gegenwart, dass Vorteile und Chancen wie auch Nachteile und Gefahren dazugehören,  die  kritisch  einzuschätzen  und  abzuwägen  sind.  Der  Umgang  mit  den  modernen  und  sich  ständig  weiter  verändernden  Medien  wird  hier  auch  aus  der  Perspektive  der  Lernenden   betrachtet, erprobt und ausgewertet. 
========
Code:Societal roles of AI File/Case: Teil_C_Gesellschaftswissenschaften_2015_11_10.pdf
Pos0: 31833 - Pos1: 32091
historische Kontinuität und  Veränderungen am Bei- spiel eines konkreten   Aspekts beschreiben   (früher – danach – heute)  nach Ursachen fragen und  sie diskutieren  die Bedeutsamkeit histori- scher Veränderungen für  das Leben in der Gegen- wart erläutern 
========
</t>
  </si>
  <si>
    <t xml:space="preserve">Code:Societal roles of AI File/Case: Teil_C_Sachunterricht_2015_11_16.pdf
Pos0: 49469 - Pos1: 49534
–  Auswirkungen technischer Entwicklungen beispielhaft bewerten, 
========
Code:Societal roles of AI File/Case: Teil_C_Sachunterricht_2015_11_16.pdf
Pos0: 29016 - Pos1: 29065
ilden   Andere Standpunkte  wahrnehmen  Medien un
========
</t>
  </si>
  <si>
    <t xml:space="preserve">Code:Societal roles of AI File/Case: Teil_C_WAT_2015_11_10.pdf
Pos0: 37646 - Pos1: 37965
Veränderungen der   Lebensgewohnheiten durch  technische Entwicklungen  herausarbeiten  wirtschaftliche Entwicklun- gen identifizieren und bei- spielhaft erläutern  den Wandel in der   Arbeitswelt identifizieren  und beispielhaft erläutern  technische Entwicklungen  identifizieren, einordnen und  kritisch einschätzen 
========
</t>
  </si>
  <si>
    <t xml:space="preserve">cid</t>
  </si>
  <si>
    <t xml:space="preserve">Code name</t>
  </si>
  <si>
    <t xml:space="preserve">pos0</t>
  </si>
  <si>
    <t xml:space="preserve">pos1</t>
  </si>
  <si>
    <t xml:space="preserve">Text</t>
  </si>
  <si>
    <t xml:space="preserve">Coded memo</t>
  </si>
  <si>
    <t xml:space="preserve">File name</t>
  </si>
  <si>
    <t xml:space="preserve">
Jede Erfindung und Nutzung neuer Medien hat, von der Erfindung der Schrift angefangen, 
in der Menschheitsgeschichte deutliche Veränderungen auf vielen Ebenen bewirkt (z. B. in 
Gesellschaft, Kultur, Politik und Wirtschaft). Den Entwicklungsschritten und ihren Wirkungen 
wie  auch  den  Veränderungen,  die  im  Leben  der  Menschen  jeweils  zu  beobachten  waren 
und sind, wird mit diesem Themenfeld nachgegangen. Deutlich wird dabei in Vergangenheit 
und Gegenwart, dass Vorteile und Chancen wie auch Nachteile und Gefahren dazugehören, 
die  kritisch  einzuschätzen  und  abzuwägen  sind.  Der  Umgang  mit  den  modernen  und  sich 
ständig  weiter  verändernden  Medien  wird  hier  auch  aus  der  Perspektive  der  Lernenden  
betrachtet, erprobt und ausgewertet. </t>
  </si>
  <si>
    <t xml:space="preserve">
historische Kontinuität und 
Veränderungen am Bei-
spiel eines konkreten  
Aspekts beschreiben  
(früher – danach – heute) 
nach Ursachen fragen und 
sie diskutieren 
die Bedeutsamkeit histori-
scher Veränderungen für 
das Leben in der Gegen-
wart erläutern </t>
  </si>
  <si>
    <t xml:space="preserve">
Verwenden der Bildungsregeln 
von arithmetischen und 
geometrischen Mustern zum 
Finden von weiteren Elementen</t>
  </si>
  <si>
    <t xml:space="preserve"> strukturieren Informationen, stellen sie in unterschiedlichen Repräsentationen dar und 
C Mathematik 
interpretieren sie kritisch. </t>
  </si>
  <si>
    <t xml:space="preserve">
Die Arbeit mit Modellen ist ein wichtiger Teil des naturwissenschaftlichen Unterrichts. Es wird 
thematisiert,  welche  Erklärungen  mit  diesem  Modell  im  naturwissenschaftlichen  Erkenntnis-
prozess möglich sind und was es veranschaulichen soll.  
Bei  der  Auseinandersetzung  mit  Modellen  sollte  ihre  prinzipielle  Begrenztheit  erfahrbar  
werden  (Modellkritik).  Die  Lernenden  erkennen  anhand  von  Widersprüchen,  dass  Modelle 
keine Beweiskraft besitzen. Modelle helfen jedoch, sich eine Vorstellung von der Wirklichkeit 
zu machen, die der Anschauung nicht zugänglich ist.  </t>
  </si>
  <si>
    <t xml:space="preserve"> Schülerinnen  und  Schüler  üben  im  Unterricht 
nicht  nur  die  kompetente  Nutzung,  sondern  auch  einen  kritischen  Umgang  mit  Medien  im 
Blick auf die Herkunft und Verlässlichkeit von Informationen. </t>
  </si>
  <si>
    <t xml:space="preserve"> Technik nutzen, explorieren und experimentieren, technische Lösungen  
vergleichen, </t>
  </si>
  <si>
    <t xml:space="preserve">
–  Auswirkungen technischer Entwicklungen beispielhaft bewerten, </t>
  </si>
  <si>
    <t xml:space="preserve">bilden  
Andere Standpunkte 
wahrnehmen 
Medien un</t>
  </si>
  <si>
    <t xml:space="preserve"> Mediennutzungsmöglichkeiten (Kommunizieren, Spielen, Arbeiten, Gestalten und  
Programmieren) anwenden und untersuchen (Medienbildung), </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</si>
</sst>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0"/>
      <name val="Arial"/>
      <family val="2"/>
    </font>
  </fonts>
  <fills count="6">
    <fill>
      <patternFill patternType="none"/>
    </fill>
    <fill>
      <patternFill patternType="gray125"/>
    </fill>
    <fill>
      <patternFill patternType="solid">
        <fgColor rgb="FFF8E0E0"/>
        <bgColor rgb="FFFFFFFF"/>
      </patternFill>
    </fill>
    <fill>
      <patternFill patternType="solid">
        <fgColor rgb="FFFFFF00"/>
        <bgColor rgb="FFFFFF00"/>
      </patternFill>
    </fill>
    <fill>
      <patternFill patternType="solid">
        <fgColor rgb="FFF5A9A9"/>
        <bgColor rgb="FFFFCC99"/>
      </patternFill>
    </fill>
    <fill>
      <patternFill patternType="solid">
        <fgColor rgb="FFFA5858"/>
        <bgColor rgb="FFFF420E"/>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7E0021"/>
      <rgbColor rgb="FF008000"/>
      <rgbColor rgb="FF000080"/>
      <rgbColor rgb="FF808000"/>
      <rgbColor rgb="FF800080"/>
      <rgbColor rgb="FF008080"/>
      <rgbColor rgb="FFB3B3B3"/>
      <rgbColor rgb="FF808080"/>
      <rgbColor rgb="FF9999FF"/>
      <rgbColor rgb="FF993366"/>
      <rgbColor rgb="FFF8E0E0"/>
      <rgbColor rgb="FFCCFFFF"/>
      <rgbColor rgb="FF660066"/>
      <rgbColor rgb="FFFA5858"/>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3CAFF"/>
      <rgbColor rgb="FFF5A9A9"/>
      <rgbColor rgb="FFCC99FF"/>
      <rgbColor rgb="FFFFCC99"/>
      <rgbColor rgb="FF3366FF"/>
      <rgbColor rgb="FF33CCCC"/>
      <rgbColor rgb="FF99CC00"/>
      <rgbColor rgb="FFFFD320"/>
      <rgbColor rgb="FFFF9900"/>
      <rgbColor rgb="FFFF420E"/>
      <rgbColor rgb="FF666699"/>
      <rgbColor rgb="FF969696"/>
      <rgbColor rgb="FF004586"/>
      <rgbColor rgb="FF579D1C"/>
      <rgbColor rgb="FF003300"/>
      <rgbColor rgb="FF314004"/>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bar"/>
        <c:grouping val="stacked"/>
        <c:varyColors val="0"/>
        <c:ser>
          <c:idx val="0"/>
          <c:order val="0"/>
          <c:tx>
            <c:strRef>
              <c:f>Counts_2!$C$1</c:f>
              <c:strCache>
                <c:ptCount val="1"/>
                <c:pt idx="0">
                  <c:v>First language</c:v>
                </c:pt>
              </c:strCache>
            </c:strRef>
          </c:tx>
          <c:spPr>
            <a:solidFill>
              <a:srgbClr val="00458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Counts_2!$A$2:$B$13</c:f>
              <c:multiLvlStrCache>
                <c:ptCount val="12"/>
                <c:lvl>
                  <c:pt idx="0">
                    <c:v>Algorithmic Thinking</c:v>
                  </c:pt>
                  <c:pt idx="1">
                    <c:v>Pattern recognition</c:v>
                  </c:pt>
                  <c:pt idx="2">
                    <c:v>AI chances and risks</c:v>
                  </c:pt>
                  <c:pt idx="3">
                    <c:v>AI Ethics</c:v>
                  </c:pt>
                  <c:pt idx="4">
                    <c:v>AI training data</c:v>
                  </c:pt>
                  <c:pt idx="5">
                    <c:v>Responsible AI use</c:v>
                  </c:pt>
                  <c:pt idx="6">
                    <c:v>Societal roles of AI</c:v>
                  </c:pt>
                  <c:pt idx="7">
                    <c:v>analyze/interpret data</c:v>
                  </c:pt>
                  <c:pt idx="8">
                    <c:v>reflect data</c:v>
                  </c:pt>
                  <c:pt idx="9">
                    <c:v>Evaluate AI impact</c:v>
                  </c:pt>
                  <c:pt idx="10">
                    <c:v>AI decision making</c:v>
                  </c:pt>
                  <c:pt idx="11">
                    <c:v>AI working principles</c:v>
                  </c:pt>
                </c:lvl>
                <c:lvl>
                  <c:pt idx="0">
                    <c:v>CT</c:v>
                  </c:pt>
                  <c:pt idx="2">
                    <c:v>CA</c:v>
                  </c:pt>
                  <c:pt idx="7">
                    <c:v>DL</c:v>
                  </c:pt>
                  <c:pt idx="9">
                    <c:v>PA</c:v>
                  </c:pt>
                  <c:pt idx="10">
                    <c:v>TU</c:v>
                  </c:pt>
                </c:lvl>
              </c:multiLvlStrCache>
            </c:multiLvlStrRef>
          </c:cat>
          <c:val>
            <c:numRef>
              <c:f>Counts_2!$C$2:$C$13</c:f>
              <c:numCache>
                <c:formatCode>General</c:formatCode>
                <c:ptCount val="12"/>
                <c:pt idx="0">
                  <c:v>0</c:v>
                </c:pt>
                <c:pt idx="1">
                  <c:v>0</c:v>
                </c:pt>
                <c:pt idx="2">
                  <c:v>1</c:v>
                </c:pt>
                <c:pt idx="3">
                  <c:v>0</c:v>
                </c:pt>
                <c:pt idx="4">
                  <c:v>0</c:v>
                </c:pt>
                <c:pt idx="5">
                  <c:v>0</c:v>
                </c:pt>
                <c:pt idx="6">
                  <c:v>0</c:v>
                </c:pt>
                <c:pt idx="7">
                  <c:v>0</c:v>
                </c:pt>
                <c:pt idx="8">
                  <c:v>0</c:v>
                </c:pt>
                <c:pt idx="9">
                  <c:v>3</c:v>
                </c:pt>
                <c:pt idx="10">
                  <c:v>0</c:v>
                </c:pt>
                <c:pt idx="11">
                  <c:v>0</c:v>
                </c:pt>
              </c:numCache>
            </c:numRef>
          </c:val>
        </c:ser>
        <c:ser>
          <c:idx val="1"/>
          <c:order val="1"/>
          <c:tx>
            <c:strRef>
              <c:f>Counts_2!$D$1</c:f>
              <c:strCache>
                <c:ptCount val="1"/>
                <c:pt idx="0">
                  <c:v>Social sciences</c:v>
                </c:pt>
              </c:strCache>
            </c:strRef>
          </c:tx>
          <c:spPr>
            <a:solidFill>
              <a:srgbClr val="ff420e"/>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Counts_2!$A$2:$B$13</c:f>
              <c:multiLvlStrCache>
                <c:ptCount val="12"/>
                <c:lvl>
                  <c:pt idx="0">
                    <c:v>Algorithmic Thinking</c:v>
                  </c:pt>
                  <c:pt idx="1">
                    <c:v>Pattern recognition</c:v>
                  </c:pt>
                  <c:pt idx="2">
                    <c:v>AI chances and risks</c:v>
                  </c:pt>
                  <c:pt idx="3">
                    <c:v>AI Ethics</c:v>
                  </c:pt>
                  <c:pt idx="4">
                    <c:v>AI training data</c:v>
                  </c:pt>
                  <c:pt idx="5">
                    <c:v>Responsible AI use</c:v>
                  </c:pt>
                  <c:pt idx="6">
                    <c:v>Societal roles of AI</c:v>
                  </c:pt>
                  <c:pt idx="7">
                    <c:v>analyze/interpret data</c:v>
                  </c:pt>
                  <c:pt idx="8">
                    <c:v>reflect data</c:v>
                  </c:pt>
                  <c:pt idx="9">
                    <c:v>Evaluate AI impact</c:v>
                  </c:pt>
                  <c:pt idx="10">
                    <c:v>AI decision making</c:v>
                  </c:pt>
                  <c:pt idx="11">
                    <c:v>AI working principles</c:v>
                  </c:pt>
                </c:lvl>
                <c:lvl>
                  <c:pt idx="0">
                    <c:v>CT</c:v>
                  </c:pt>
                  <c:pt idx="2">
                    <c:v>CA</c:v>
                  </c:pt>
                  <c:pt idx="7">
                    <c:v>DL</c:v>
                  </c:pt>
                  <c:pt idx="9">
                    <c:v>PA</c:v>
                  </c:pt>
                  <c:pt idx="10">
                    <c:v>TU</c:v>
                  </c:pt>
                </c:lvl>
              </c:multiLvlStrCache>
            </c:multiLvlStrRef>
          </c:cat>
          <c:val>
            <c:numRef>
              <c:f>Counts_2!$D$2:$D$13</c:f>
              <c:numCache>
                <c:formatCode>General</c:formatCode>
                <c:ptCount val="12"/>
                <c:pt idx="0">
                  <c:v>0</c:v>
                </c:pt>
                <c:pt idx="1">
                  <c:v>0</c:v>
                </c:pt>
                <c:pt idx="2">
                  <c:v>2</c:v>
                </c:pt>
                <c:pt idx="3">
                  <c:v>0</c:v>
                </c:pt>
                <c:pt idx="4">
                  <c:v>0</c:v>
                </c:pt>
                <c:pt idx="5">
                  <c:v>0</c:v>
                </c:pt>
                <c:pt idx="6">
                  <c:v>2</c:v>
                </c:pt>
                <c:pt idx="7">
                  <c:v>0</c:v>
                </c:pt>
                <c:pt idx="8">
                  <c:v>1</c:v>
                </c:pt>
                <c:pt idx="9">
                  <c:v>4</c:v>
                </c:pt>
                <c:pt idx="10">
                  <c:v>0</c:v>
                </c:pt>
                <c:pt idx="11">
                  <c:v>0</c:v>
                </c:pt>
              </c:numCache>
            </c:numRef>
          </c:val>
        </c:ser>
        <c:ser>
          <c:idx val="2"/>
          <c:order val="2"/>
          <c:tx>
            <c:strRef>
              <c:f>Counts_2!$E$1</c:f>
              <c:strCache>
                <c:ptCount val="1"/>
                <c:pt idx="0">
                  <c:v>Math</c:v>
                </c:pt>
              </c:strCache>
            </c:strRef>
          </c:tx>
          <c:spPr>
            <a:solidFill>
              <a:srgbClr val="ffd32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Counts_2!$A$2:$B$13</c:f>
              <c:multiLvlStrCache>
                <c:ptCount val="12"/>
                <c:lvl>
                  <c:pt idx="0">
                    <c:v>Algorithmic Thinking</c:v>
                  </c:pt>
                  <c:pt idx="1">
                    <c:v>Pattern recognition</c:v>
                  </c:pt>
                  <c:pt idx="2">
                    <c:v>AI chances and risks</c:v>
                  </c:pt>
                  <c:pt idx="3">
                    <c:v>AI Ethics</c:v>
                  </c:pt>
                  <c:pt idx="4">
                    <c:v>AI training data</c:v>
                  </c:pt>
                  <c:pt idx="5">
                    <c:v>Responsible AI use</c:v>
                  </c:pt>
                  <c:pt idx="6">
                    <c:v>Societal roles of AI</c:v>
                  </c:pt>
                  <c:pt idx="7">
                    <c:v>analyze/interpret data</c:v>
                  </c:pt>
                  <c:pt idx="8">
                    <c:v>reflect data</c:v>
                  </c:pt>
                  <c:pt idx="9">
                    <c:v>Evaluate AI impact</c:v>
                  </c:pt>
                  <c:pt idx="10">
                    <c:v>AI decision making</c:v>
                  </c:pt>
                  <c:pt idx="11">
                    <c:v>AI working principles</c:v>
                  </c:pt>
                </c:lvl>
                <c:lvl>
                  <c:pt idx="0">
                    <c:v>CT</c:v>
                  </c:pt>
                  <c:pt idx="2">
                    <c:v>CA</c:v>
                  </c:pt>
                  <c:pt idx="7">
                    <c:v>DL</c:v>
                  </c:pt>
                  <c:pt idx="9">
                    <c:v>PA</c:v>
                  </c:pt>
                  <c:pt idx="10">
                    <c:v>TU</c:v>
                  </c:pt>
                </c:lvl>
              </c:multiLvlStrCache>
            </c:multiLvlStrRef>
          </c:cat>
          <c:val>
            <c:numRef>
              <c:f>Counts_2!$E$2:$E$13</c:f>
              <c:numCache>
                <c:formatCode>General</c:formatCode>
                <c:ptCount val="12"/>
                <c:pt idx="0">
                  <c:v>4</c:v>
                </c:pt>
                <c:pt idx="1">
                  <c:v>10</c:v>
                </c:pt>
                <c:pt idx="2">
                  <c:v>0</c:v>
                </c:pt>
                <c:pt idx="3">
                  <c:v>0</c:v>
                </c:pt>
                <c:pt idx="4">
                  <c:v>0</c:v>
                </c:pt>
                <c:pt idx="5">
                  <c:v>0</c:v>
                </c:pt>
                <c:pt idx="6">
                  <c:v>0</c:v>
                </c:pt>
                <c:pt idx="7">
                  <c:v>2</c:v>
                </c:pt>
                <c:pt idx="8">
                  <c:v>15</c:v>
                </c:pt>
                <c:pt idx="9">
                  <c:v>0</c:v>
                </c:pt>
                <c:pt idx="10">
                  <c:v>0</c:v>
                </c:pt>
                <c:pt idx="11">
                  <c:v>0</c:v>
                </c:pt>
              </c:numCache>
            </c:numRef>
          </c:val>
        </c:ser>
        <c:ser>
          <c:idx val="3"/>
          <c:order val="3"/>
          <c:tx>
            <c:strRef>
              <c:f>Counts_2!$F$1</c:f>
              <c:strCache>
                <c:ptCount val="1"/>
                <c:pt idx="0">
                  <c:v>Modern foreign languages</c:v>
                </c:pt>
              </c:strCache>
            </c:strRef>
          </c:tx>
          <c:spPr>
            <a:solidFill>
              <a:srgbClr val="579d1c"/>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Counts_2!$A$2:$B$13</c:f>
              <c:multiLvlStrCache>
                <c:ptCount val="12"/>
                <c:lvl>
                  <c:pt idx="0">
                    <c:v>Algorithmic Thinking</c:v>
                  </c:pt>
                  <c:pt idx="1">
                    <c:v>Pattern recognition</c:v>
                  </c:pt>
                  <c:pt idx="2">
                    <c:v>AI chances and risks</c:v>
                  </c:pt>
                  <c:pt idx="3">
                    <c:v>AI Ethics</c:v>
                  </c:pt>
                  <c:pt idx="4">
                    <c:v>AI training data</c:v>
                  </c:pt>
                  <c:pt idx="5">
                    <c:v>Responsible AI use</c:v>
                  </c:pt>
                  <c:pt idx="6">
                    <c:v>Societal roles of AI</c:v>
                  </c:pt>
                  <c:pt idx="7">
                    <c:v>analyze/interpret data</c:v>
                  </c:pt>
                  <c:pt idx="8">
                    <c:v>reflect data</c:v>
                  </c:pt>
                  <c:pt idx="9">
                    <c:v>Evaluate AI impact</c:v>
                  </c:pt>
                  <c:pt idx="10">
                    <c:v>AI decision making</c:v>
                  </c:pt>
                  <c:pt idx="11">
                    <c:v>AI working principles</c:v>
                  </c:pt>
                </c:lvl>
                <c:lvl>
                  <c:pt idx="0">
                    <c:v>CT</c:v>
                  </c:pt>
                  <c:pt idx="2">
                    <c:v>CA</c:v>
                  </c:pt>
                  <c:pt idx="7">
                    <c:v>DL</c:v>
                  </c:pt>
                  <c:pt idx="9">
                    <c:v>PA</c:v>
                  </c:pt>
                  <c:pt idx="10">
                    <c:v>TU</c:v>
                  </c:pt>
                </c:lvl>
              </c:multiLvlStrCache>
            </c:multiLvlStrRef>
          </c:cat>
          <c:val>
            <c:numRef>
              <c:f>Counts_2!$F$2:$F$13</c:f>
              <c:numCache>
                <c:formatCode>General</c:formatCode>
                <c:ptCount val="12"/>
                <c:pt idx="0">
                  <c:v>0</c:v>
                </c:pt>
                <c:pt idx="1">
                  <c:v>0</c:v>
                </c:pt>
                <c:pt idx="2">
                  <c:v>0</c:v>
                </c:pt>
                <c:pt idx="3">
                  <c:v>0</c:v>
                </c:pt>
                <c:pt idx="4">
                  <c:v>0</c:v>
                </c:pt>
                <c:pt idx="5">
                  <c:v>0</c:v>
                </c:pt>
                <c:pt idx="6">
                  <c:v>0</c:v>
                </c:pt>
                <c:pt idx="7">
                  <c:v>0</c:v>
                </c:pt>
                <c:pt idx="8">
                  <c:v>0</c:v>
                </c:pt>
                <c:pt idx="9">
                  <c:v>10</c:v>
                </c:pt>
                <c:pt idx="10">
                  <c:v>0</c:v>
                </c:pt>
                <c:pt idx="11">
                  <c:v>0</c:v>
                </c:pt>
              </c:numCache>
            </c:numRef>
          </c:val>
        </c:ser>
        <c:ser>
          <c:idx val="4"/>
          <c:order val="4"/>
          <c:tx>
            <c:strRef>
              <c:f>Counts_2!$G$1</c:f>
              <c:strCache>
                <c:ptCount val="1"/>
                <c:pt idx="0">
                  <c:v>Natural sciences</c:v>
                </c:pt>
              </c:strCache>
            </c:strRef>
          </c:tx>
          <c:spPr>
            <a:solidFill>
              <a:srgbClr val="7e0021"/>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Counts_2!$A$2:$B$13</c:f>
              <c:multiLvlStrCache>
                <c:ptCount val="12"/>
                <c:lvl>
                  <c:pt idx="0">
                    <c:v>Algorithmic Thinking</c:v>
                  </c:pt>
                  <c:pt idx="1">
                    <c:v>Pattern recognition</c:v>
                  </c:pt>
                  <c:pt idx="2">
                    <c:v>AI chances and risks</c:v>
                  </c:pt>
                  <c:pt idx="3">
                    <c:v>AI Ethics</c:v>
                  </c:pt>
                  <c:pt idx="4">
                    <c:v>AI training data</c:v>
                  </c:pt>
                  <c:pt idx="5">
                    <c:v>Responsible AI use</c:v>
                  </c:pt>
                  <c:pt idx="6">
                    <c:v>Societal roles of AI</c:v>
                  </c:pt>
                  <c:pt idx="7">
                    <c:v>analyze/interpret data</c:v>
                  </c:pt>
                  <c:pt idx="8">
                    <c:v>reflect data</c:v>
                  </c:pt>
                  <c:pt idx="9">
                    <c:v>Evaluate AI impact</c:v>
                  </c:pt>
                  <c:pt idx="10">
                    <c:v>AI decision making</c:v>
                  </c:pt>
                  <c:pt idx="11">
                    <c:v>AI working principles</c:v>
                  </c:pt>
                </c:lvl>
                <c:lvl>
                  <c:pt idx="0">
                    <c:v>CT</c:v>
                  </c:pt>
                  <c:pt idx="2">
                    <c:v>CA</c:v>
                  </c:pt>
                  <c:pt idx="7">
                    <c:v>DL</c:v>
                  </c:pt>
                  <c:pt idx="9">
                    <c:v>PA</c:v>
                  </c:pt>
                  <c:pt idx="10">
                    <c:v>TU</c:v>
                  </c:pt>
                </c:lvl>
              </c:multiLvlStrCache>
            </c:multiLvlStrRef>
          </c:cat>
          <c:val>
            <c:numRef>
              <c:f>Counts_2!$G$2:$G$13</c:f>
              <c:numCache>
                <c:formatCode>General</c:formatCode>
                <c:ptCount val="12"/>
                <c:pt idx="0">
                  <c:v>0</c:v>
                </c:pt>
                <c:pt idx="1">
                  <c:v>0</c:v>
                </c:pt>
                <c:pt idx="2">
                  <c:v>0</c:v>
                </c:pt>
                <c:pt idx="3">
                  <c:v>0</c:v>
                </c:pt>
                <c:pt idx="4">
                  <c:v>0</c:v>
                </c:pt>
                <c:pt idx="5">
                  <c:v>1</c:v>
                </c:pt>
                <c:pt idx="6">
                  <c:v>0</c:v>
                </c:pt>
                <c:pt idx="7">
                  <c:v>0</c:v>
                </c:pt>
                <c:pt idx="8">
                  <c:v>1</c:v>
                </c:pt>
                <c:pt idx="9">
                  <c:v>4</c:v>
                </c:pt>
                <c:pt idx="10">
                  <c:v>1</c:v>
                </c:pt>
                <c:pt idx="11">
                  <c:v>2</c:v>
                </c:pt>
              </c:numCache>
            </c:numRef>
          </c:val>
        </c:ser>
        <c:ser>
          <c:idx val="5"/>
          <c:order val="5"/>
          <c:tx>
            <c:strRef>
              <c:f>Counts_2!$H$1</c:f>
              <c:strCache>
                <c:ptCount val="1"/>
                <c:pt idx="0">
                  <c:v>Environmental sciences</c:v>
                </c:pt>
              </c:strCache>
            </c:strRef>
          </c:tx>
          <c:spPr>
            <a:solidFill>
              <a:srgbClr val="83caf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Counts_2!$A$2:$B$13</c:f>
              <c:multiLvlStrCache>
                <c:ptCount val="12"/>
                <c:lvl>
                  <c:pt idx="0">
                    <c:v>Algorithmic Thinking</c:v>
                  </c:pt>
                  <c:pt idx="1">
                    <c:v>Pattern recognition</c:v>
                  </c:pt>
                  <c:pt idx="2">
                    <c:v>AI chances and risks</c:v>
                  </c:pt>
                  <c:pt idx="3">
                    <c:v>AI Ethics</c:v>
                  </c:pt>
                  <c:pt idx="4">
                    <c:v>AI training data</c:v>
                  </c:pt>
                  <c:pt idx="5">
                    <c:v>Responsible AI use</c:v>
                  </c:pt>
                  <c:pt idx="6">
                    <c:v>Societal roles of AI</c:v>
                  </c:pt>
                  <c:pt idx="7">
                    <c:v>analyze/interpret data</c:v>
                  </c:pt>
                  <c:pt idx="8">
                    <c:v>reflect data</c:v>
                  </c:pt>
                  <c:pt idx="9">
                    <c:v>Evaluate AI impact</c:v>
                  </c:pt>
                  <c:pt idx="10">
                    <c:v>AI decision making</c:v>
                  </c:pt>
                  <c:pt idx="11">
                    <c:v>AI working principles</c:v>
                  </c:pt>
                </c:lvl>
                <c:lvl>
                  <c:pt idx="0">
                    <c:v>CT</c:v>
                  </c:pt>
                  <c:pt idx="2">
                    <c:v>CA</c:v>
                  </c:pt>
                  <c:pt idx="7">
                    <c:v>DL</c:v>
                  </c:pt>
                  <c:pt idx="9">
                    <c:v>PA</c:v>
                  </c:pt>
                  <c:pt idx="10">
                    <c:v>TU</c:v>
                  </c:pt>
                </c:lvl>
              </c:multiLvlStrCache>
            </c:multiLvlStrRef>
          </c:cat>
          <c:val>
            <c:numRef>
              <c:f>Counts_2!$H$2:$H$13</c:f>
              <c:numCache>
                <c:formatCode>General</c:formatCode>
                <c:ptCount val="12"/>
                <c:pt idx="0">
                  <c:v>1</c:v>
                </c:pt>
                <c:pt idx="1">
                  <c:v>0</c:v>
                </c:pt>
                <c:pt idx="2">
                  <c:v>2</c:v>
                </c:pt>
                <c:pt idx="3">
                  <c:v>0</c:v>
                </c:pt>
                <c:pt idx="4">
                  <c:v>2</c:v>
                </c:pt>
                <c:pt idx="5">
                  <c:v>0</c:v>
                </c:pt>
                <c:pt idx="6">
                  <c:v>2</c:v>
                </c:pt>
                <c:pt idx="7">
                  <c:v>0</c:v>
                </c:pt>
                <c:pt idx="8">
                  <c:v>0</c:v>
                </c:pt>
                <c:pt idx="9">
                  <c:v>4</c:v>
                </c:pt>
                <c:pt idx="10">
                  <c:v>0</c:v>
                </c:pt>
                <c:pt idx="11">
                  <c:v>0</c:v>
                </c:pt>
              </c:numCache>
            </c:numRef>
          </c:val>
        </c:ser>
        <c:ser>
          <c:idx val="6"/>
          <c:order val="6"/>
          <c:tx>
            <c:strRef>
              <c:f>Counts_2!$I$1</c:f>
              <c:strCache>
                <c:ptCount val="1"/>
                <c:pt idx="0">
                  <c:v>Economics-Work-Technology</c:v>
                </c:pt>
              </c:strCache>
            </c:strRef>
          </c:tx>
          <c:spPr>
            <a:solidFill>
              <a:srgbClr val="31400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Counts_2!$A$2:$B$13</c:f>
              <c:multiLvlStrCache>
                <c:ptCount val="12"/>
                <c:lvl>
                  <c:pt idx="0">
                    <c:v>Algorithmic Thinking</c:v>
                  </c:pt>
                  <c:pt idx="1">
                    <c:v>Pattern recognition</c:v>
                  </c:pt>
                  <c:pt idx="2">
                    <c:v>AI chances and risks</c:v>
                  </c:pt>
                  <c:pt idx="3">
                    <c:v>AI Ethics</c:v>
                  </c:pt>
                  <c:pt idx="4">
                    <c:v>AI training data</c:v>
                  </c:pt>
                  <c:pt idx="5">
                    <c:v>Responsible AI use</c:v>
                  </c:pt>
                  <c:pt idx="6">
                    <c:v>Societal roles of AI</c:v>
                  </c:pt>
                  <c:pt idx="7">
                    <c:v>analyze/interpret data</c:v>
                  </c:pt>
                  <c:pt idx="8">
                    <c:v>reflect data</c:v>
                  </c:pt>
                  <c:pt idx="9">
                    <c:v>Evaluate AI impact</c:v>
                  </c:pt>
                  <c:pt idx="10">
                    <c:v>AI decision making</c:v>
                  </c:pt>
                  <c:pt idx="11">
                    <c:v>AI working principles</c:v>
                  </c:pt>
                </c:lvl>
                <c:lvl>
                  <c:pt idx="0">
                    <c:v>CT</c:v>
                  </c:pt>
                  <c:pt idx="2">
                    <c:v>CA</c:v>
                  </c:pt>
                  <c:pt idx="7">
                    <c:v>DL</c:v>
                  </c:pt>
                  <c:pt idx="9">
                    <c:v>PA</c:v>
                  </c:pt>
                  <c:pt idx="10">
                    <c:v>TU</c:v>
                  </c:pt>
                </c:lvl>
              </c:multiLvlStrCache>
            </c:multiLvlStrRef>
          </c:cat>
          <c:val>
            <c:numRef>
              <c:f>Counts_2!$I$2:$I$13</c:f>
              <c:numCache>
                <c:formatCode>General</c:formatCode>
                <c:ptCount val="12"/>
                <c:pt idx="0">
                  <c:v>0</c:v>
                </c:pt>
                <c:pt idx="1">
                  <c:v>0</c:v>
                </c:pt>
                <c:pt idx="2">
                  <c:v>0</c:v>
                </c:pt>
                <c:pt idx="3">
                  <c:v>1</c:v>
                </c:pt>
                <c:pt idx="4">
                  <c:v>0</c:v>
                </c:pt>
                <c:pt idx="5">
                  <c:v>0</c:v>
                </c:pt>
                <c:pt idx="6">
                  <c:v>1</c:v>
                </c:pt>
                <c:pt idx="7">
                  <c:v>0</c:v>
                </c:pt>
                <c:pt idx="8">
                  <c:v>0</c:v>
                </c:pt>
                <c:pt idx="9">
                  <c:v>1</c:v>
                </c:pt>
                <c:pt idx="10">
                  <c:v>0</c:v>
                </c:pt>
                <c:pt idx="11">
                  <c:v>0</c:v>
                </c:pt>
              </c:numCache>
            </c:numRef>
          </c:val>
        </c:ser>
        <c:gapWidth val="100"/>
        <c:overlap val="100"/>
        <c:axId val="61456343"/>
        <c:axId val="21032889"/>
      </c:barChart>
      <c:catAx>
        <c:axId val="61456343"/>
        <c:scaling>
          <c:orientation val="minMax"/>
        </c:scaling>
        <c:delete val="0"/>
        <c:axPos val="b"/>
        <c:numFmt formatCode="General" sourceLinked="1"/>
        <c:majorTickMark val="out"/>
        <c:minorTickMark val="none"/>
        <c:tickLblPos val="nextTo"/>
        <c:spPr>
          <a:ln w="0">
            <a:solidFill>
              <a:srgbClr val="b3b3b3"/>
            </a:solidFill>
          </a:ln>
        </c:spPr>
        <c:txPr>
          <a:bodyPr/>
          <a:lstStyle/>
          <a:p>
            <a:pPr>
              <a:defRPr b="0" sz="1000" spc="-1" strike="noStrike">
                <a:latin typeface="Arial"/>
              </a:defRPr>
            </a:pPr>
          </a:p>
        </c:txPr>
        <c:crossAx val="21032889"/>
        <c:crosses val="autoZero"/>
        <c:auto val="1"/>
        <c:lblAlgn val="ctr"/>
        <c:lblOffset val="100"/>
        <c:noMultiLvlLbl val="0"/>
      </c:catAx>
      <c:valAx>
        <c:axId val="21032889"/>
        <c:scaling>
          <c:orientation val="minMax"/>
        </c:scaling>
        <c:delete val="0"/>
        <c:axPos val="l"/>
        <c:majorGridlines>
          <c:spPr>
            <a:ln w="0">
              <a:solidFill>
                <a:srgbClr val="b3b3b3"/>
              </a:solidFill>
            </a:ln>
          </c:spPr>
        </c:majorGridlines>
        <c:numFmt formatCode="General" sourceLinked="1"/>
        <c:majorTickMark val="out"/>
        <c:minorTickMark val="none"/>
        <c:tickLblPos val="nextTo"/>
        <c:spPr>
          <a:ln w="0">
            <a:solidFill>
              <a:srgbClr val="b3b3b3"/>
            </a:solidFill>
          </a:ln>
        </c:spPr>
        <c:txPr>
          <a:bodyPr/>
          <a:lstStyle/>
          <a:p>
            <a:pPr>
              <a:defRPr b="0" sz="1000" spc="-1" strike="noStrike">
                <a:latin typeface="Arial"/>
              </a:defRPr>
            </a:pPr>
          </a:p>
        </c:txPr>
        <c:crossAx val="61456343"/>
        <c:crosses val="autoZero"/>
        <c:crossBetween val="between"/>
      </c:valAx>
      <c:spPr>
        <a:noFill/>
        <a:ln w="0">
          <a:solidFill>
            <a:srgbClr val="b3b3b3"/>
          </a:solidFill>
        </a:ln>
      </c:spPr>
    </c:plotArea>
    <c:legend>
      <c:legendPos val="r"/>
      <c:overlay val="0"/>
      <c:spPr>
        <a:noFill/>
        <a:ln w="0">
          <a:noFill/>
        </a:ln>
      </c:spPr>
      <c:txPr>
        <a:bodyPr/>
        <a:lstStyle/>
        <a:p>
          <a:pPr>
            <a:defRPr b="0" sz="1000" spc="-1" strike="noStrike">
              <a:latin typeface="Arial"/>
            </a:defRPr>
          </a:pPr>
        </a:p>
      </c:txPr>
    </c:legend>
    <c:plotVisOnly val="1"/>
    <c:dispBlanksAs val="gap"/>
  </c:chart>
  <c:spPr>
    <a:solidFill>
      <a:srgbClr val="ffffff"/>
    </a:solidFill>
    <a:ln w="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15</xdr:row>
      <xdr:rowOff>26640</xdr:rowOff>
    </xdr:from>
    <xdr:to>
      <xdr:col>4</xdr:col>
      <xdr:colOff>1253160</xdr:colOff>
      <xdr:row>33</xdr:row>
      <xdr:rowOff>111600</xdr:rowOff>
    </xdr:to>
    <xdr:graphicFrame>
      <xdr:nvGraphicFramePr>
        <xdr:cNvPr id="0" name=""/>
        <xdr:cNvGraphicFramePr/>
      </xdr:nvGraphicFramePr>
      <xdr:xfrm>
        <a:off x="0" y="2655720"/>
        <a:ext cx="575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6796875" defaultRowHeight="15" zeroHeight="false" outlineLevelRow="0" outlineLevelCol="0"/>
  <cols>
    <col collapsed="false" customWidth="true" hidden="false" outlineLevel="0" max="13" min="1" style="1" width="20"/>
  </cols>
  <sheetData>
    <row r="1" customFormat="false" ht="15" hidden="false" customHeight="false" outlineLevel="0" collapsed="false">
      <c r="B1" s="1" t="s">
        <v>0</v>
      </c>
      <c r="C1" s="1" t="s">
        <v>1</v>
      </c>
      <c r="D1" s="1" t="s">
        <v>2</v>
      </c>
      <c r="E1" s="1" t="s">
        <v>3</v>
      </c>
      <c r="F1" s="1" t="s">
        <v>4</v>
      </c>
      <c r="G1" s="1" t="s">
        <v>5</v>
      </c>
      <c r="H1" s="1" t="s">
        <v>6</v>
      </c>
      <c r="I1" s="1" t="s">
        <v>7</v>
      </c>
      <c r="J1" s="1" t="s">
        <v>8</v>
      </c>
      <c r="K1" s="1" t="s">
        <v>9</v>
      </c>
      <c r="L1" s="1" t="s">
        <v>10</v>
      </c>
      <c r="M1" s="1" t="s">
        <v>11</v>
      </c>
      <c r="N1" s="1" t="s">
        <v>12</v>
      </c>
    </row>
    <row r="2" customFormat="false" ht="15" hidden="false" customHeight="false" outlineLevel="0" collapsed="false">
      <c r="A2" s="1" t="s">
        <v>13</v>
      </c>
      <c r="B2" s="2" t="n">
        <v>1</v>
      </c>
      <c r="C2" s="1" t="n">
        <v>0</v>
      </c>
      <c r="D2" s="2" t="n">
        <v>2</v>
      </c>
      <c r="E2" s="1" t="n">
        <v>0</v>
      </c>
      <c r="F2" s="1" t="n">
        <v>0</v>
      </c>
      <c r="G2" s="1" t="n">
        <v>0</v>
      </c>
      <c r="H2" s="1" t="n">
        <v>0</v>
      </c>
      <c r="I2" s="1" t="n">
        <v>0</v>
      </c>
      <c r="J2" s="1" t="n">
        <v>0</v>
      </c>
      <c r="K2" s="1" t="n">
        <v>0</v>
      </c>
      <c r="L2" s="2" t="n">
        <v>2</v>
      </c>
      <c r="M2" s="1" t="n">
        <v>0</v>
      </c>
      <c r="N2" s="1" t="n">
        <v>0</v>
      </c>
    </row>
    <row r="3" customFormat="false" ht="15" hidden="false" customHeight="false" outlineLevel="0" collapsed="false">
      <c r="A3" s="1" t="s">
        <v>14</v>
      </c>
      <c r="B3" s="1" t="n">
        <v>0</v>
      </c>
      <c r="C3" s="1" t="n">
        <v>0</v>
      </c>
      <c r="D3" s="1" t="n">
        <v>0</v>
      </c>
      <c r="E3" s="1" t="n">
        <v>0</v>
      </c>
      <c r="F3" s="1" t="n">
        <v>0</v>
      </c>
      <c r="G3" s="1" t="n">
        <v>0</v>
      </c>
      <c r="H3" s="1" t="n">
        <v>0</v>
      </c>
      <c r="I3" s="1" t="n">
        <v>0</v>
      </c>
      <c r="J3" s="1" t="n">
        <v>0</v>
      </c>
      <c r="K3" s="2" t="n">
        <v>1</v>
      </c>
      <c r="L3" s="1" t="n">
        <v>0</v>
      </c>
      <c r="M3" s="1" t="n">
        <v>0</v>
      </c>
      <c r="N3" s="1" t="n">
        <v>0</v>
      </c>
    </row>
    <row r="4" customFormat="false" ht="15" hidden="false" customHeight="false" outlineLevel="0" collapsed="false">
      <c r="A4" s="1" t="s">
        <v>15</v>
      </c>
      <c r="B4" s="1" t="n">
        <v>0</v>
      </c>
      <c r="C4" s="1" t="n">
        <v>0</v>
      </c>
      <c r="D4" s="1" t="n">
        <v>0</v>
      </c>
      <c r="E4" s="1" t="n">
        <v>0</v>
      </c>
      <c r="F4" s="1" t="n">
        <v>0</v>
      </c>
      <c r="G4" s="1" t="n">
        <v>0</v>
      </c>
      <c r="H4" s="1" t="n">
        <v>0</v>
      </c>
      <c r="I4" s="1" t="n">
        <v>0</v>
      </c>
      <c r="J4" s="1" t="n">
        <v>0</v>
      </c>
      <c r="K4" s="1" t="n">
        <v>0</v>
      </c>
      <c r="L4" s="1" t="n">
        <v>0</v>
      </c>
      <c r="M4" s="1" t="n">
        <v>0</v>
      </c>
      <c r="N4" s="2" t="n">
        <v>1</v>
      </c>
    </row>
    <row r="5" customFormat="false" ht="15" hidden="false" customHeight="false" outlineLevel="0" collapsed="false">
      <c r="A5" s="3" t="s">
        <v>16</v>
      </c>
      <c r="B5" s="1" t="n">
        <v>0</v>
      </c>
      <c r="C5" s="1" t="n">
        <v>0</v>
      </c>
      <c r="D5" s="1" t="n">
        <v>0</v>
      </c>
      <c r="E5" s="1" t="n">
        <v>0</v>
      </c>
      <c r="F5" s="1" t="n">
        <v>0</v>
      </c>
      <c r="G5" s="1" t="n">
        <v>0</v>
      </c>
      <c r="H5" s="1" t="n">
        <v>0</v>
      </c>
      <c r="I5" s="1" t="n">
        <v>0</v>
      </c>
      <c r="J5" s="1" t="n">
        <v>0</v>
      </c>
      <c r="K5" s="1" t="n">
        <v>0</v>
      </c>
      <c r="L5" s="1" t="n">
        <v>0</v>
      </c>
      <c r="M5" s="1" t="n">
        <v>0</v>
      </c>
      <c r="N5" s="1" t="n">
        <v>0</v>
      </c>
    </row>
    <row r="6" customFormat="false" ht="15" hidden="false" customHeight="false" outlineLevel="0" collapsed="false">
      <c r="A6" s="1" t="s">
        <v>17</v>
      </c>
      <c r="B6" s="1" t="n">
        <v>0</v>
      </c>
      <c r="C6" s="1" t="n">
        <v>0</v>
      </c>
      <c r="D6" s="1" t="n">
        <v>0</v>
      </c>
      <c r="E6" s="1" t="n">
        <v>0</v>
      </c>
      <c r="F6" s="1" t="n">
        <v>0</v>
      </c>
      <c r="G6" s="1" t="n">
        <v>0</v>
      </c>
      <c r="H6" s="1" t="n">
        <v>0</v>
      </c>
      <c r="I6" s="1" t="n">
        <v>0</v>
      </c>
      <c r="J6" s="1" t="n">
        <v>0</v>
      </c>
      <c r="K6" s="1" t="n">
        <v>0</v>
      </c>
      <c r="L6" s="2" t="n">
        <v>2</v>
      </c>
      <c r="M6" s="1" t="n">
        <v>0</v>
      </c>
      <c r="N6" s="1" t="n">
        <v>0</v>
      </c>
    </row>
    <row r="7" customFormat="false" ht="15" hidden="false" customHeight="false" outlineLevel="0" collapsed="false">
      <c r="A7" s="1" t="s">
        <v>18</v>
      </c>
      <c r="B7" s="1" t="n">
        <v>0</v>
      </c>
      <c r="C7" s="1" t="n">
        <v>0</v>
      </c>
      <c r="D7" s="1" t="n">
        <v>0</v>
      </c>
      <c r="E7" s="1" t="n">
        <v>0</v>
      </c>
      <c r="F7" s="1" t="n">
        <v>0</v>
      </c>
      <c r="G7" s="1" t="n">
        <v>0</v>
      </c>
      <c r="H7" s="1" t="n">
        <v>0</v>
      </c>
      <c r="I7" s="1" t="n">
        <v>0</v>
      </c>
      <c r="J7" s="1" t="n">
        <v>0</v>
      </c>
      <c r="K7" s="2" t="n">
        <v>2</v>
      </c>
      <c r="L7" s="1" t="n">
        <v>0</v>
      </c>
      <c r="M7" s="1" t="n">
        <v>0</v>
      </c>
      <c r="N7" s="1" t="n">
        <v>0</v>
      </c>
    </row>
    <row r="8" customFormat="false" ht="15" hidden="false" customHeight="false" outlineLevel="0" collapsed="false">
      <c r="A8" s="1" t="s">
        <v>19</v>
      </c>
      <c r="B8" s="1" t="n">
        <v>0</v>
      </c>
      <c r="C8" s="1" t="n">
        <v>0</v>
      </c>
      <c r="D8" s="1" t="n">
        <v>0</v>
      </c>
      <c r="E8" s="1" t="n">
        <v>0</v>
      </c>
      <c r="F8" s="1" t="n">
        <v>0</v>
      </c>
      <c r="G8" s="1" t="n">
        <v>0</v>
      </c>
      <c r="H8" s="2" t="n">
        <v>4</v>
      </c>
      <c r="I8" s="1" t="n">
        <v>0</v>
      </c>
      <c r="J8" s="1" t="n">
        <v>0</v>
      </c>
      <c r="K8" s="1" t="n">
        <v>0</v>
      </c>
      <c r="L8" s="2" t="n">
        <v>1</v>
      </c>
      <c r="M8" s="1" t="n">
        <v>0</v>
      </c>
      <c r="N8" s="1" t="n">
        <v>0</v>
      </c>
    </row>
    <row r="9" customFormat="false" ht="15" hidden="false" customHeight="false" outlineLevel="0" collapsed="false">
      <c r="A9" s="1" t="s">
        <v>20</v>
      </c>
      <c r="B9" s="1" t="n">
        <v>0</v>
      </c>
      <c r="C9" s="1" t="n">
        <v>0</v>
      </c>
      <c r="D9" s="1" t="n">
        <v>0</v>
      </c>
      <c r="E9" s="1" t="n">
        <v>0</v>
      </c>
      <c r="F9" s="1" t="n">
        <v>0</v>
      </c>
      <c r="G9" s="1" t="n">
        <v>0</v>
      </c>
      <c r="H9" s="2" t="n">
        <v>2</v>
      </c>
      <c r="I9" s="1" t="n">
        <v>0</v>
      </c>
      <c r="J9" s="1" t="n">
        <v>0</v>
      </c>
      <c r="K9" s="1" t="n">
        <v>0</v>
      </c>
      <c r="L9" s="1" t="n">
        <v>0</v>
      </c>
      <c r="M9" s="1" t="n">
        <v>0</v>
      </c>
      <c r="N9" s="1" t="n">
        <v>0</v>
      </c>
    </row>
    <row r="10" customFormat="false" ht="15" hidden="false" customHeight="false" outlineLevel="0" collapsed="false">
      <c r="A10" s="1" t="s">
        <v>21</v>
      </c>
      <c r="B10" s="2" t="n">
        <v>3</v>
      </c>
      <c r="C10" s="1" t="n">
        <v>0</v>
      </c>
      <c r="D10" s="2" t="n">
        <v>4</v>
      </c>
      <c r="E10" s="1" t="n">
        <v>0</v>
      </c>
      <c r="F10" s="1" t="n">
        <v>0</v>
      </c>
      <c r="G10" s="1" t="n">
        <v>0</v>
      </c>
      <c r="H10" s="1" t="n">
        <v>0</v>
      </c>
      <c r="I10" s="4" t="n">
        <v>10</v>
      </c>
      <c r="J10" s="1" t="n">
        <v>0</v>
      </c>
      <c r="K10" s="2" t="n">
        <v>4</v>
      </c>
      <c r="L10" s="2" t="n">
        <v>4</v>
      </c>
      <c r="M10" s="1" t="n">
        <v>0</v>
      </c>
      <c r="N10" s="2" t="n">
        <v>1</v>
      </c>
    </row>
    <row r="11" customFormat="false" ht="15" hidden="false" customHeight="false" outlineLevel="0" collapsed="false">
      <c r="A11" s="1" t="s">
        <v>22</v>
      </c>
      <c r="B11" s="1" t="n">
        <v>0</v>
      </c>
      <c r="C11" s="1" t="n">
        <v>0</v>
      </c>
      <c r="D11" s="1" t="n">
        <v>0</v>
      </c>
      <c r="E11" s="1" t="n">
        <v>0</v>
      </c>
      <c r="F11" s="1" t="n">
        <v>0</v>
      </c>
      <c r="G11" s="1" t="n">
        <v>0</v>
      </c>
      <c r="H11" s="4" t="n">
        <v>10</v>
      </c>
      <c r="I11" s="1" t="n">
        <v>0</v>
      </c>
      <c r="J11" s="1" t="n">
        <v>0</v>
      </c>
      <c r="K11" s="1" t="n">
        <v>0</v>
      </c>
      <c r="L11" s="1" t="n">
        <v>0</v>
      </c>
      <c r="M11" s="1" t="n">
        <v>0</v>
      </c>
      <c r="N11" s="1" t="n">
        <v>0</v>
      </c>
    </row>
    <row r="12" customFormat="false" ht="15" hidden="false" customHeight="false" outlineLevel="0" collapsed="false">
      <c r="A12" s="1" t="s">
        <v>23</v>
      </c>
      <c r="B12" s="1" t="n">
        <v>0</v>
      </c>
      <c r="C12" s="1" t="n">
        <v>0</v>
      </c>
      <c r="D12" s="2" t="n">
        <v>1</v>
      </c>
      <c r="E12" s="1" t="n">
        <v>0</v>
      </c>
      <c r="F12" s="1" t="n">
        <v>0</v>
      </c>
      <c r="G12" s="1" t="n">
        <v>0</v>
      </c>
      <c r="H12" s="5" t="n">
        <v>15</v>
      </c>
      <c r="I12" s="1" t="n">
        <v>0</v>
      </c>
      <c r="J12" s="1" t="n">
        <v>0</v>
      </c>
      <c r="K12" s="2" t="n">
        <v>1</v>
      </c>
      <c r="L12" s="1" t="n">
        <v>0</v>
      </c>
      <c r="M12" s="1" t="n">
        <v>0</v>
      </c>
      <c r="N12" s="1" t="n">
        <v>0</v>
      </c>
    </row>
    <row r="13" customFormat="false" ht="15" hidden="false" customHeight="false" outlineLevel="0" collapsed="false">
      <c r="A13" s="1" t="s">
        <v>24</v>
      </c>
      <c r="B13" s="1" t="n">
        <v>0</v>
      </c>
      <c r="C13" s="1" t="n">
        <v>0</v>
      </c>
      <c r="D13" s="1" t="n">
        <v>0</v>
      </c>
      <c r="E13" s="1" t="n">
        <v>0</v>
      </c>
      <c r="F13" s="1" t="n">
        <v>0</v>
      </c>
      <c r="G13" s="1" t="n">
        <v>0</v>
      </c>
      <c r="H13" s="1" t="n">
        <v>0</v>
      </c>
      <c r="I13" s="1" t="n">
        <v>0</v>
      </c>
      <c r="J13" s="1" t="n">
        <v>0</v>
      </c>
      <c r="K13" s="2" t="n">
        <v>1</v>
      </c>
      <c r="L13" s="1" t="n">
        <v>0</v>
      </c>
      <c r="M13" s="1" t="n">
        <v>0</v>
      </c>
      <c r="N13" s="1" t="n">
        <v>0</v>
      </c>
    </row>
    <row r="14" customFormat="false" ht="15" hidden="false" customHeight="false" outlineLevel="0" collapsed="false">
      <c r="A14" s="3" t="s">
        <v>25</v>
      </c>
      <c r="B14" s="1" t="n">
        <v>0</v>
      </c>
      <c r="C14" s="1" t="n">
        <v>0</v>
      </c>
      <c r="D14" s="1" t="n">
        <v>0</v>
      </c>
      <c r="E14" s="1" t="n">
        <v>0</v>
      </c>
      <c r="F14" s="1" t="n">
        <v>0</v>
      </c>
      <c r="G14" s="1" t="n">
        <v>0</v>
      </c>
      <c r="H14" s="1" t="n">
        <v>0</v>
      </c>
      <c r="I14" s="1" t="n">
        <v>0</v>
      </c>
      <c r="J14" s="1" t="n">
        <v>0</v>
      </c>
      <c r="K14" s="1" t="n">
        <v>0</v>
      </c>
      <c r="L14" s="1" t="n">
        <v>0</v>
      </c>
      <c r="M14" s="1" t="n">
        <v>0</v>
      </c>
      <c r="N14" s="1" t="n">
        <v>0</v>
      </c>
    </row>
    <row r="15" customFormat="false" ht="15" hidden="false" customHeight="false" outlineLevel="0" collapsed="false">
      <c r="A15" s="1" t="s">
        <v>26</v>
      </c>
      <c r="B15" s="1" t="n">
        <v>0</v>
      </c>
      <c r="C15" s="1" t="n">
        <v>0</v>
      </c>
      <c r="D15" s="2" t="n">
        <v>2</v>
      </c>
      <c r="E15" s="1" t="n">
        <v>0</v>
      </c>
      <c r="F15" s="1" t="n">
        <v>0</v>
      </c>
      <c r="G15" s="1" t="n">
        <v>0</v>
      </c>
      <c r="H15" s="1" t="n">
        <v>0</v>
      </c>
      <c r="I15" s="1" t="n">
        <v>0</v>
      </c>
      <c r="J15" s="1" t="n">
        <v>0</v>
      </c>
      <c r="K15" s="1" t="n">
        <v>0</v>
      </c>
      <c r="L15" s="2" t="n">
        <v>2</v>
      </c>
      <c r="M15" s="1" t="n">
        <v>0</v>
      </c>
      <c r="N15" s="2" t="n">
        <v>1</v>
      </c>
    </row>
    <row r="16" customFormat="false" ht="15" hidden="false" customHeight="false" outlineLevel="0" collapsed="false">
      <c r="A16" s="3" t="s">
        <v>27</v>
      </c>
      <c r="B16" s="1" t="n">
        <v>0</v>
      </c>
      <c r="C16" s="1" t="n">
        <v>0</v>
      </c>
      <c r="D16" s="1" t="n">
        <v>0</v>
      </c>
      <c r="E16" s="1" t="n">
        <v>0</v>
      </c>
      <c r="F16" s="1" t="n">
        <v>0</v>
      </c>
      <c r="G16" s="1" t="n">
        <v>0</v>
      </c>
      <c r="H16" s="1" t="n">
        <v>0</v>
      </c>
      <c r="I16" s="1" t="n">
        <v>0</v>
      </c>
      <c r="J16" s="1" t="n">
        <v>0</v>
      </c>
      <c r="K16" s="1" t="n">
        <v>0</v>
      </c>
      <c r="L16" s="1" t="n">
        <v>0</v>
      </c>
      <c r="M16" s="1" t="n">
        <v>0</v>
      </c>
      <c r="N16" s="1" t="n">
        <v>0</v>
      </c>
    </row>
    <row r="19" customFormat="false" ht="15" hidden="false" customHeight="false" outlineLevel="0" collapsed="false">
      <c r="A19" s="3"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17" activeCellId="0" sqref="F17"/>
    </sheetView>
  </sheetViews>
  <sheetFormatPr defaultColWidth="8.6796875" defaultRowHeight="13.8" zeroHeight="false" outlineLevelRow="0" outlineLevelCol="0"/>
  <cols>
    <col collapsed="false" customWidth="true" hidden="false" outlineLevel="0" max="1" min="1" style="6" width="3.94"/>
    <col collapsed="false" customWidth="true" hidden="false" outlineLevel="0" max="8" min="2" style="1" width="20"/>
    <col collapsed="false" customWidth="false" hidden="false" outlineLevel="0" max="16379" min="9" style="1" width="8.68"/>
    <col collapsed="false" customWidth="true" hidden="false" outlineLevel="0" max="16384" min="16380" style="1" width="11.53"/>
  </cols>
  <sheetData>
    <row r="1" customFormat="false" ht="13.8" hidden="false" customHeight="false" outlineLevel="0" collapsed="false">
      <c r="B1" s="7"/>
      <c r="C1" s="7" t="s">
        <v>29</v>
      </c>
      <c r="D1" s="7" t="s">
        <v>30</v>
      </c>
      <c r="E1" s="7" t="s">
        <v>31</v>
      </c>
      <c r="F1" s="7" t="s">
        <v>32</v>
      </c>
      <c r="G1" s="7" t="s">
        <v>33</v>
      </c>
      <c r="H1" s="7" t="s">
        <v>34</v>
      </c>
      <c r="I1" s="7" t="s">
        <v>35</v>
      </c>
      <c r="J1" s="7" t="s">
        <v>36</v>
      </c>
    </row>
    <row r="2" customFormat="false" ht="13.8" hidden="false" customHeight="false" outlineLevel="0" collapsed="false">
      <c r="A2" s="8" t="s">
        <v>37</v>
      </c>
      <c r="B2" s="7" t="s">
        <v>19</v>
      </c>
      <c r="C2" s="1" t="n">
        <v>0</v>
      </c>
      <c r="D2" s="1" t="n">
        <v>0</v>
      </c>
      <c r="E2" s="1" t="n">
        <v>4</v>
      </c>
      <c r="F2" s="1" t="n">
        <v>0</v>
      </c>
      <c r="G2" s="1" t="n">
        <v>0</v>
      </c>
      <c r="H2" s="1" t="n">
        <v>1</v>
      </c>
      <c r="I2" s="1" t="n">
        <v>0</v>
      </c>
      <c r="J2" s="7" t="n">
        <f aca="false">SUM(C2:I2)</f>
        <v>5</v>
      </c>
    </row>
    <row r="3" customFormat="false" ht="13.8" hidden="false" customHeight="false" outlineLevel="0" collapsed="false">
      <c r="A3" s="8"/>
      <c r="B3" s="7" t="s">
        <v>22</v>
      </c>
      <c r="C3" s="1" t="n">
        <v>0</v>
      </c>
      <c r="D3" s="1" t="n">
        <v>0</v>
      </c>
      <c r="E3" s="1" t="n">
        <v>10</v>
      </c>
      <c r="F3" s="1" t="n">
        <v>0</v>
      </c>
      <c r="G3" s="1" t="n">
        <v>0</v>
      </c>
      <c r="H3" s="1" t="n">
        <v>0</v>
      </c>
      <c r="I3" s="1" t="n">
        <v>0</v>
      </c>
      <c r="J3" s="7" t="n">
        <f aca="false">SUM(C3:I3)</f>
        <v>10</v>
      </c>
    </row>
    <row r="4" customFormat="false" ht="13.8" hidden="false" customHeight="false" outlineLevel="0" collapsed="false">
      <c r="A4" s="8" t="s">
        <v>38</v>
      </c>
      <c r="B4" s="7" t="s">
        <v>13</v>
      </c>
      <c r="C4" s="1" t="n">
        <v>1</v>
      </c>
      <c r="D4" s="1" t="n">
        <v>2</v>
      </c>
      <c r="E4" s="1" t="n">
        <v>0</v>
      </c>
      <c r="F4" s="1" t="n">
        <v>0</v>
      </c>
      <c r="G4" s="1" t="n">
        <v>0</v>
      </c>
      <c r="H4" s="1" t="n">
        <v>2</v>
      </c>
      <c r="I4" s="1" t="n">
        <v>0</v>
      </c>
      <c r="J4" s="7" t="n">
        <f aca="false">SUM(C4:I4)</f>
        <v>5</v>
      </c>
    </row>
    <row r="5" customFormat="false" ht="13.8" hidden="false" customHeight="false" outlineLevel="0" collapsed="false">
      <c r="A5" s="8"/>
      <c r="B5" s="7" t="s">
        <v>15</v>
      </c>
      <c r="C5" s="1" t="n">
        <v>0</v>
      </c>
      <c r="D5" s="1" t="n">
        <v>0</v>
      </c>
      <c r="E5" s="1" t="n">
        <v>0</v>
      </c>
      <c r="F5" s="1" t="n">
        <v>0</v>
      </c>
      <c r="G5" s="1" t="n">
        <v>0</v>
      </c>
      <c r="H5" s="1" t="n">
        <v>0</v>
      </c>
      <c r="I5" s="1" t="n">
        <v>1</v>
      </c>
      <c r="J5" s="7" t="n">
        <f aca="false">SUM(C5:I5)</f>
        <v>1</v>
      </c>
    </row>
    <row r="6" customFormat="false" ht="13.8" hidden="false" customHeight="false" outlineLevel="0" collapsed="false">
      <c r="A6" s="8"/>
      <c r="B6" s="7" t="s">
        <v>17</v>
      </c>
      <c r="C6" s="1" t="n">
        <v>0</v>
      </c>
      <c r="D6" s="1" t="n">
        <v>0</v>
      </c>
      <c r="E6" s="1" t="n">
        <v>0</v>
      </c>
      <c r="F6" s="1" t="n">
        <v>0</v>
      </c>
      <c r="G6" s="1" t="n">
        <v>0</v>
      </c>
      <c r="H6" s="1" t="n">
        <v>2</v>
      </c>
      <c r="I6" s="1" t="n">
        <v>0</v>
      </c>
      <c r="J6" s="7" t="n">
        <f aca="false">SUM(C6:I6)</f>
        <v>2</v>
      </c>
    </row>
    <row r="7" customFormat="false" ht="13.8" hidden="false" customHeight="false" outlineLevel="0" collapsed="false">
      <c r="A7" s="8"/>
      <c r="B7" s="7" t="s">
        <v>24</v>
      </c>
      <c r="C7" s="1" t="n">
        <v>0</v>
      </c>
      <c r="D7" s="1" t="n">
        <v>0</v>
      </c>
      <c r="E7" s="1" t="n">
        <v>0</v>
      </c>
      <c r="F7" s="1" t="n">
        <v>0</v>
      </c>
      <c r="G7" s="1" t="n">
        <v>1</v>
      </c>
      <c r="H7" s="1" t="n">
        <v>0</v>
      </c>
      <c r="I7" s="1" t="n">
        <v>0</v>
      </c>
      <c r="J7" s="7" t="n">
        <f aca="false">SUM(C7:I7)</f>
        <v>1</v>
      </c>
    </row>
    <row r="8" customFormat="false" ht="13.8" hidden="false" customHeight="false" outlineLevel="0" collapsed="false">
      <c r="A8" s="8"/>
      <c r="B8" s="7" t="s">
        <v>26</v>
      </c>
      <c r="C8" s="1" t="n">
        <v>0</v>
      </c>
      <c r="D8" s="1" t="n">
        <v>2</v>
      </c>
      <c r="E8" s="1" t="n">
        <v>0</v>
      </c>
      <c r="F8" s="1" t="n">
        <v>0</v>
      </c>
      <c r="G8" s="1" t="n">
        <v>0</v>
      </c>
      <c r="H8" s="1" t="n">
        <v>2</v>
      </c>
      <c r="I8" s="1" t="n">
        <v>1</v>
      </c>
      <c r="J8" s="7" t="n">
        <f aca="false">SUM(C8:I8)</f>
        <v>5</v>
      </c>
    </row>
    <row r="9" customFormat="false" ht="13.8" hidden="false" customHeight="false" outlineLevel="0" collapsed="false">
      <c r="A9" s="8" t="s">
        <v>39</v>
      </c>
      <c r="B9" s="7" t="s">
        <v>20</v>
      </c>
      <c r="C9" s="1" t="n">
        <v>0</v>
      </c>
      <c r="D9" s="1" t="n">
        <v>0</v>
      </c>
      <c r="E9" s="1" t="n">
        <v>2</v>
      </c>
      <c r="F9" s="1" t="n">
        <v>0</v>
      </c>
      <c r="G9" s="1" t="n">
        <v>0</v>
      </c>
      <c r="H9" s="1" t="n">
        <v>0</v>
      </c>
      <c r="I9" s="1" t="n">
        <v>0</v>
      </c>
      <c r="J9" s="7" t="n">
        <f aca="false">SUM(C9:I9)</f>
        <v>2</v>
      </c>
    </row>
    <row r="10" customFormat="false" ht="13.8" hidden="false" customHeight="false" outlineLevel="0" collapsed="false">
      <c r="A10" s="8"/>
      <c r="B10" s="7" t="s">
        <v>23</v>
      </c>
      <c r="C10" s="1" t="n">
        <v>0</v>
      </c>
      <c r="D10" s="1" t="n">
        <v>1</v>
      </c>
      <c r="E10" s="1" t="n">
        <v>15</v>
      </c>
      <c r="F10" s="1" t="n">
        <v>0</v>
      </c>
      <c r="G10" s="1" t="n">
        <v>1</v>
      </c>
      <c r="H10" s="1" t="n">
        <v>0</v>
      </c>
      <c r="I10" s="1" t="n">
        <v>0</v>
      </c>
      <c r="J10" s="7" t="n">
        <f aca="false">SUM(C10:I10)</f>
        <v>17</v>
      </c>
    </row>
    <row r="11" customFormat="false" ht="13.8" hidden="false" customHeight="false" outlineLevel="0" collapsed="false">
      <c r="A11" s="6" t="s">
        <v>40</v>
      </c>
      <c r="B11" s="7" t="s">
        <v>21</v>
      </c>
      <c r="C11" s="1" t="n">
        <v>3</v>
      </c>
      <c r="D11" s="1" t="n">
        <v>4</v>
      </c>
      <c r="E11" s="1" t="n">
        <v>0</v>
      </c>
      <c r="F11" s="1" t="n">
        <v>10</v>
      </c>
      <c r="G11" s="1" t="n">
        <v>4</v>
      </c>
      <c r="H11" s="1" t="n">
        <v>4</v>
      </c>
      <c r="I11" s="1" t="n">
        <v>1</v>
      </c>
      <c r="J11" s="7" t="n">
        <f aca="false">SUM(C11:I11)</f>
        <v>26</v>
      </c>
    </row>
    <row r="12" customFormat="false" ht="13.8" hidden="false" customHeight="false" outlineLevel="0" collapsed="false">
      <c r="A12" s="8" t="s">
        <v>41</v>
      </c>
      <c r="B12" s="7" t="s">
        <v>14</v>
      </c>
      <c r="C12" s="1" t="n">
        <v>0</v>
      </c>
      <c r="D12" s="1" t="n">
        <v>0</v>
      </c>
      <c r="E12" s="1" t="n">
        <v>0</v>
      </c>
      <c r="F12" s="1" t="n">
        <v>0</v>
      </c>
      <c r="G12" s="1" t="n">
        <v>1</v>
      </c>
      <c r="H12" s="1" t="n">
        <v>0</v>
      </c>
      <c r="I12" s="1" t="n">
        <v>0</v>
      </c>
      <c r="J12" s="7" t="n">
        <f aca="false">SUM(C12:I12)</f>
        <v>1</v>
      </c>
    </row>
    <row r="13" customFormat="false" ht="13.8" hidden="false" customHeight="false" outlineLevel="0" collapsed="false">
      <c r="A13" s="8"/>
      <c r="B13" s="7" t="s">
        <v>18</v>
      </c>
      <c r="C13" s="1" t="n">
        <v>0</v>
      </c>
      <c r="D13" s="1" t="n">
        <v>0</v>
      </c>
      <c r="E13" s="1" t="n">
        <v>0</v>
      </c>
      <c r="F13" s="1" t="n">
        <v>0</v>
      </c>
      <c r="G13" s="1" t="n">
        <v>2</v>
      </c>
      <c r="H13" s="1" t="n">
        <v>0</v>
      </c>
      <c r="I13" s="1" t="n">
        <v>0</v>
      </c>
      <c r="J13" s="7" t="n">
        <f aca="false">SUM(C13:I13)</f>
        <v>2</v>
      </c>
    </row>
    <row r="14" customFormat="false" ht="13.8" hidden="false" customHeight="false" outlineLevel="0" collapsed="false">
      <c r="B14" s="7" t="s">
        <v>36</v>
      </c>
      <c r="C14" s="7" t="n">
        <f aca="false">+SUM(C2:C13)</f>
        <v>4</v>
      </c>
      <c r="D14" s="7" t="n">
        <f aca="false">+SUM(D2:D13)</f>
        <v>9</v>
      </c>
      <c r="E14" s="7" t="n">
        <f aca="false">+SUM(E2:E13)</f>
        <v>31</v>
      </c>
      <c r="F14" s="7" t="n">
        <f aca="false">+SUM(F2:F13)</f>
        <v>10</v>
      </c>
      <c r="G14" s="7" t="n">
        <f aca="false">+SUM(G2:G13)</f>
        <v>9</v>
      </c>
      <c r="H14" s="7" t="n">
        <f aca="false">+SUM(H2:H13)</f>
        <v>11</v>
      </c>
      <c r="I14" s="7" t="n">
        <f aca="false">+SUM(I2:I13)</f>
        <v>3</v>
      </c>
      <c r="J14" s="7" t="n">
        <f aca="false">+SUM(J2:J13)</f>
        <v>77</v>
      </c>
    </row>
  </sheetData>
  <mergeCells count="4">
    <mergeCell ref="A2:A3"/>
    <mergeCell ref="A4:A8"/>
    <mergeCell ref="A9:A10"/>
    <mergeCell ref="A12:A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6"/>
  <sheetViews>
    <sheetView showFormulas="false" showGridLines="true" showRowColHeaders="true" showZeros="true" rightToLeft="false" tabSelected="false" showOutlineSymbols="true" defaultGridColor="true" view="normal" topLeftCell="A13" colorId="64" zoomScale="100" zoomScaleNormal="100" zoomScalePageLayoutView="100" workbookViewId="0">
      <selection pane="topLeft" activeCell="A2" activeCellId="0" sqref="A2"/>
    </sheetView>
  </sheetViews>
  <sheetFormatPr defaultColWidth="8.6796875" defaultRowHeight="15" zeroHeight="false" outlineLevelRow="0" outlineLevelCol="0"/>
  <cols>
    <col collapsed="false" customWidth="true" hidden="false" outlineLevel="0" max="13" min="1" style="1" width="20"/>
  </cols>
  <sheetData>
    <row r="1" customFormat="false" ht="15" hidden="false" customHeight="false" outlineLevel="0" collapsed="false">
      <c r="B1" s="1" t="s">
        <v>0</v>
      </c>
      <c r="C1" s="1" t="s">
        <v>1</v>
      </c>
      <c r="D1" s="1" t="s">
        <v>2</v>
      </c>
      <c r="E1" s="1" t="s">
        <v>3</v>
      </c>
      <c r="F1" s="1" t="s">
        <v>4</v>
      </c>
      <c r="G1" s="1" t="s">
        <v>5</v>
      </c>
      <c r="H1" s="1" t="s">
        <v>6</v>
      </c>
      <c r="I1" s="1" t="s">
        <v>7</v>
      </c>
      <c r="J1" s="1" t="s">
        <v>8</v>
      </c>
      <c r="K1" s="1" t="s">
        <v>9</v>
      </c>
      <c r="L1" s="1" t="s">
        <v>10</v>
      </c>
      <c r="M1" s="1" t="s">
        <v>11</v>
      </c>
      <c r="N1" s="1" t="s">
        <v>12</v>
      </c>
    </row>
    <row r="2" customFormat="false" ht="833.55" hidden="false" customHeight="false" outlineLevel="0" collapsed="false">
      <c r="A2" s="1" t="s">
        <v>13</v>
      </c>
      <c r="B2" s="9" t="s">
        <v>42</v>
      </c>
      <c r="C2" s="9"/>
      <c r="D2" s="9" t="s">
        <v>43</v>
      </c>
      <c r="E2" s="9"/>
      <c r="F2" s="9"/>
      <c r="G2" s="9"/>
      <c r="H2" s="9"/>
      <c r="I2" s="9"/>
      <c r="J2" s="9"/>
      <c r="K2" s="9"/>
      <c r="L2" s="9" t="s">
        <v>44</v>
      </c>
      <c r="M2" s="9"/>
      <c r="N2" s="9"/>
    </row>
    <row r="3" customFormat="false" ht="525.35" hidden="false" customHeight="false" outlineLevel="0" collapsed="false">
      <c r="A3" s="1" t="s">
        <v>14</v>
      </c>
      <c r="B3" s="9"/>
      <c r="C3" s="9"/>
      <c r="D3" s="9"/>
      <c r="E3" s="9"/>
      <c r="F3" s="9"/>
      <c r="G3" s="9"/>
      <c r="H3" s="9"/>
      <c r="I3" s="9"/>
      <c r="J3" s="9"/>
      <c r="K3" s="9" t="s">
        <v>45</v>
      </c>
      <c r="L3" s="9"/>
      <c r="M3" s="9"/>
      <c r="N3" s="9"/>
    </row>
    <row r="4" customFormat="false" ht="337.3" hidden="false" customHeight="false" outlineLevel="0" collapsed="false">
      <c r="A4" s="1" t="s">
        <v>15</v>
      </c>
      <c r="B4" s="9"/>
      <c r="C4" s="9"/>
      <c r="D4" s="9"/>
      <c r="E4" s="9"/>
      <c r="F4" s="9"/>
      <c r="G4" s="9"/>
      <c r="H4" s="9"/>
      <c r="I4" s="9"/>
      <c r="J4" s="9"/>
      <c r="K4" s="9"/>
      <c r="L4" s="9"/>
      <c r="M4" s="9"/>
      <c r="N4" s="9" t="s">
        <v>46</v>
      </c>
    </row>
    <row r="5" customFormat="false" ht="15" hidden="false" customHeight="false" outlineLevel="0" collapsed="false">
      <c r="A5" s="1" t="s">
        <v>16</v>
      </c>
      <c r="B5" s="9"/>
      <c r="C5" s="9"/>
      <c r="D5" s="9"/>
      <c r="E5" s="9"/>
      <c r="F5" s="9"/>
      <c r="G5" s="9"/>
      <c r="H5" s="9"/>
      <c r="I5" s="9"/>
      <c r="J5" s="9"/>
      <c r="K5" s="9"/>
      <c r="L5" s="9"/>
      <c r="M5" s="9"/>
      <c r="N5" s="9"/>
    </row>
    <row r="6" customFormat="false" ht="310.4" hidden="false" customHeight="false" outlineLevel="0" collapsed="false">
      <c r="A6" s="1" t="s">
        <v>17</v>
      </c>
      <c r="B6" s="9"/>
      <c r="C6" s="9"/>
      <c r="D6" s="9"/>
      <c r="E6" s="9"/>
      <c r="F6" s="9"/>
      <c r="G6" s="9"/>
      <c r="H6" s="9"/>
      <c r="I6" s="9"/>
      <c r="J6" s="9"/>
      <c r="K6" s="9"/>
      <c r="L6" s="9" t="s">
        <v>47</v>
      </c>
      <c r="M6" s="9"/>
      <c r="N6" s="9"/>
    </row>
    <row r="7" customFormat="false" ht="498.5" hidden="false" customHeight="false" outlineLevel="0" collapsed="false">
      <c r="A7" s="1" t="s">
        <v>18</v>
      </c>
      <c r="B7" s="9"/>
      <c r="C7" s="9"/>
      <c r="D7" s="9"/>
      <c r="E7" s="9"/>
      <c r="F7" s="9"/>
      <c r="G7" s="9"/>
      <c r="H7" s="9"/>
      <c r="I7" s="9"/>
      <c r="J7" s="9"/>
      <c r="K7" s="9" t="s">
        <v>48</v>
      </c>
      <c r="L7" s="9"/>
      <c r="M7" s="9"/>
      <c r="N7" s="9"/>
    </row>
    <row r="8" customFormat="false" ht="833.55" hidden="false" customHeight="false" outlineLevel="0" collapsed="false">
      <c r="A8" s="1" t="s">
        <v>19</v>
      </c>
      <c r="B8" s="9"/>
      <c r="C8" s="9"/>
      <c r="D8" s="9"/>
      <c r="E8" s="9"/>
      <c r="F8" s="9"/>
      <c r="G8" s="9"/>
      <c r="H8" s="9" t="s">
        <v>49</v>
      </c>
      <c r="I8" s="9"/>
      <c r="J8" s="9"/>
      <c r="K8" s="9"/>
      <c r="L8" s="9" t="s">
        <v>50</v>
      </c>
      <c r="M8" s="9"/>
      <c r="N8" s="9"/>
    </row>
    <row r="9" customFormat="false" ht="525.35" hidden="false" customHeight="false" outlineLevel="0" collapsed="false">
      <c r="A9" s="1" t="s">
        <v>20</v>
      </c>
      <c r="B9" s="9"/>
      <c r="C9" s="9"/>
      <c r="D9" s="9"/>
      <c r="E9" s="9"/>
      <c r="F9" s="9"/>
      <c r="G9" s="9"/>
      <c r="H9" s="9" t="s">
        <v>51</v>
      </c>
      <c r="I9" s="9"/>
      <c r="J9" s="9"/>
      <c r="K9" s="9"/>
      <c r="L9" s="9"/>
      <c r="M9" s="9"/>
      <c r="N9" s="9"/>
    </row>
    <row r="10" customFormat="false" ht="1961.9" hidden="false" customHeight="false" outlineLevel="0" collapsed="false">
      <c r="A10" s="1" t="s">
        <v>21</v>
      </c>
      <c r="B10" s="9" t="s">
        <v>52</v>
      </c>
      <c r="C10" s="9"/>
      <c r="D10" s="9" t="s">
        <v>53</v>
      </c>
      <c r="E10" s="9"/>
      <c r="F10" s="9"/>
      <c r="G10" s="9"/>
      <c r="H10" s="9"/>
      <c r="I10" s="9" t="s">
        <v>54</v>
      </c>
      <c r="J10" s="9"/>
      <c r="K10" s="9" t="s">
        <v>55</v>
      </c>
      <c r="L10" s="9" t="s">
        <v>56</v>
      </c>
      <c r="M10" s="9"/>
      <c r="N10" s="9" t="s">
        <v>57</v>
      </c>
    </row>
    <row r="11" customFormat="false" ht="1961.9" hidden="false" customHeight="false" outlineLevel="0" collapsed="false">
      <c r="A11" s="1" t="s">
        <v>22</v>
      </c>
      <c r="B11" s="9"/>
      <c r="C11" s="9"/>
      <c r="D11" s="9"/>
      <c r="E11" s="9"/>
      <c r="F11" s="9"/>
      <c r="G11" s="9"/>
      <c r="H11" s="9" t="s">
        <v>58</v>
      </c>
      <c r="I11" s="9"/>
      <c r="J11" s="9"/>
      <c r="K11" s="9"/>
      <c r="L11" s="9"/>
      <c r="M11" s="9"/>
      <c r="N11" s="9"/>
    </row>
    <row r="12" customFormat="false" ht="3116.4" hidden="false" customHeight="false" outlineLevel="0" collapsed="false">
      <c r="A12" s="1" t="s">
        <v>23</v>
      </c>
      <c r="B12" s="9"/>
      <c r="C12" s="9"/>
      <c r="D12" s="9" t="s">
        <v>59</v>
      </c>
      <c r="E12" s="9"/>
      <c r="F12" s="9"/>
      <c r="G12" s="9"/>
      <c r="H12" s="9" t="s">
        <v>60</v>
      </c>
      <c r="I12" s="9"/>
      <c r="J12" s="9"/>
      <c r="K12" s="9" t="s">
        <v>61</v>
      </c>
      <c r="L12" s="9"/>
      <c r="M12" s="9"/>
      <c r="N12" s="9"/>
    </row>
    <row r="13" customFormat="false" ht="256.7" hidden="false" customHeight="false" outlineLevel="0" collapsed="false">
      <c r="A13" s="1" t="s">
        <v>24</v>
      </c>
      <c r="B13" s="9"/>
      <c r="C13" s="9"/>
      <c r="D13" s="9"/>
      <c r="E13" s="9"/>
      <c r="F13" s="9"/>
      <c r="G13" s="9"/>
      <c r="H13" s="9"/>
      <c r="I13" s="9"/>
      <c r="J13" s="9"/>
      <c r="K13" s="9" t="s">
        <v>62</v>
      </c>
      <c r="L13" s="9"/>
      <c r="M13" s="9"/>
      <c r="N13" s="9"/>
    </row>
    <row r="14" customFormat="false" ht="15" hidden="false" customHeight="false" outlineLevel="0" collapsed="false">
      <c r="A14" s="1" t="s">
        <v>25</v>
      </c>
      <c r="B14" s="9"/>
      <c r="C14" s="9"/>
      <c r="D14" s="9"/>
      <c r="E14" s="9"/>
      <c r="F14" s="9"/>
      <c r="G14" s="9"/>
      <c r="H14" s="9"/>
      <c r="I14" s="9"/>
      <c r="J14" s="9"/>
      <c r="K14" s="9"/>
      <c r="L14" s="9"/>
      <c r="M14" s="9"/>
      <c r="N14" s="9"/>
    </row>
    <row r="15" customFormat="false" ht="927.6" hidden="false" customHeight="false" outlineLevel="0" collapsed="false">
      <c r="A15" s="1" t="s">
        <v>26</v>
      </c>
      <c r="B15" s="9"/>
      <c r="C15" s="9"/>
      <c r="D15" s="9" t="s">
        <v>63</v>
      </c>
      <c r="E15" s="9"/>
      <c r="F15" s="9"/>
      <c r="G15" s="9"/>
      <c r="H15" s="9"/>
      <c r="I15" s="9"/>
      <c r="J15" s="9"/>
      <c r="K15" s="9"/>
      <c r="L15" s="9" t="s">
        <v>64</v>
      </c>
      <c r="M15" s="9"/>
      <c r="N15" s="9" t="s">
        <v>65</v>
      </c>
    </row>
    <row r="16" customFormat="false" ht="15" hidden="false" customHeight="false" outlineLevel="0" collapsed="false">
      <c r="A16" s="1" t="s">
        <v>27</v>
      </c>
      <c r="B16" s="9"/>
      <c r="C16" s="9"/>
      <c r="D16" s="9"/>
      <c r="E16" s="9"/>
      <c r="F16" s="9"/>
      <c r="G16" s="9"/>
      <c r="H16" s="9"/>
      <c r="I16" s="9"/>
      <c r="J16" s="9"/>
      <c r="K16" s="9"/>
      <c r="L16" s="9"/>
      <c r="M16" s="9"/>
      <c r="N16" s="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A1" activeCellId="0" sqref="A1"/>
    </sheetView>
  </sheetViews>
  <sheetFormatPr defaultColWidth="11.53515625" defaultRowHeight="13.8" zeroHeight="false" outlineLevelRow="0" outlineLevelCol="0"/>
  <cols>
    <col collapsed="false" customWidth="true" hidden="false" outlineLevel="0" max="1" min="1" style="1" width="3.94"/>
    <col collapsed="false" customWidth="true" hidden="false" outlineLevel="0" max="2" min="2" style="1" width="20.22"/>
    <col collapsed="false" customWidth="true" hidden="false" outlineLevel="0" max="4" min="3" style="1" width="8.24"/>
    <col collapsed="false" customWidth="true" hidden="false" outlineLevel="0" max="5" min="5" style="1" width="83.79"/>
    <col collapsed="false" customWidth="true" hidden="false" outlineLevel="0" max="6" min="6" style="1" width="12.84"/>
    <col collapsed="false" customWidth="true" hidden="false" outlineLevel="0" max="7" min="7" style="1" width="59.85"/>
  </cols>
  <sheetData>
    <row r="1" customFormat="false" ht="13.8" hidden="false" customHeight="false" outlineLevel="0" collapsed="false">
      <c r="A1" s="1" t="s">
        <v>66</v>
      </c>
      <c r="B1" s="1" t="s">
        <v>67</v>
      </c>
      <c r="C1" s="1" t="s">
        <v>68</v>
      </c>
      <c r="D1" s="1" t="s">
        <v>69</v>
      </c>
      <c r="E1" s="1" t="s">
        <v>70</v>
      </c>
      <c r="F1" s="1" t="s">
        <v>71</v>
      </c>
      <c r="G1" s="1" t="s">
        <v>72</v>
      </c>
    </row>
    <row r="2" customFormat="false" ht="135.8" hidden="false" customHeight="false" outlineLevel="0" collapsed="false">
      <c r="A2" s="1" t="n">
        <v>14</v>
      </c>
      <c r="B2" s="1" t="s">
        <v>26</v>
      </c>
      <c r="C2" s="1" t="n">
        <v>73337</v>
      </c>
      <c r="D2" s="1" t="n">
        <v>74111</v>
      </c>
      <c r="E2" s="10" t="s">
        <v>73</v>
      </c>
      <c r="G2" s="1" t="s">
        <v>2</v>
      </c>
    </row>
    <row r="3" customFormat="false" ht="135.8" hidden="false" customHeight="false" outlineLevel="0" collapsed="false">
      <c r="A3" s="1" t="n">
        <v>25</v>
      </c>
      <c r="B3" s="1" t="s">
        <v>13</v>
      </c>
      <c r="C3" s="1" t="n">
        <v>73337</v>
      </c>
      <c r="D3" s="1" t="n">
        <v>74111</v>
      </c>
      <c r="E3" s="10" t="s">
        <v>73</v>
      </c>
      <c r="G3" s="1" t="s">
        <v>2</v>
      </c>
    </row>
    <row r="4" customFormat="false" ht="135.8" hidden="false" customHeight="false" outlineLevel="0" collapsed="false">
      <c r="A4" s="1" t="n">
        <v>28</v>
      </c>
      <c r="B4" s="1" t="s">
        <v>21</v>
      </c>
      <c r="C4" s="1" t="n">
        <v>73337</v>
      </c>
      <c r="D4" s="1" t="n">
        <v>74111</v>
      </c>
      <c r="E4" s="10" t="s">
        <v>73</v>
      </c>
      <c r="G4" s="1" t="s">
        <v>2</v>
      </c>
    </row>
    <row r="5" customFormat="false" ht="162.65" hidden="false" customHeight="false" outlineLevel="0" collapsed="false">
      <c r="A5" s="1" t="n">
        <v>14</v>
      </c>
      <c r="B5" s="1" t="s">
        <v>26</v>
      </c>
      <c r="C5" s="1" t="n">
        <v>31833</v>
      </c>
      <c r="D5" s="1" t="n">
        <v>32091</v>
      </c>
      <c r="E5" s="10" t="s">
        <v>74</v>
      </c>
      <c r="G5" s="1" t="s">
        <v>2</v>
      </c>
    </row>
    <row r="6" customFormat="false" ht="162.65" hidden="false" customHeight="false" outlineLevel="0" collapsed="false">
      <c r="A6" s="1" t="n">
        <v>28</v>
      </c>
      <c r="B6" s="1" t="s">
        <v>21</v>
      </c>
      <c r="C6" s="1" t="n">
        <v>31833</v>
      </c>
      <c r="D6" s="1" t="n">
        <v>32091</v>
      </c>
      <c r="E6" s="10" t="s">
        <v>74</v>
      </c>
      <c r="G6" s="1" t="s">
        <v>2</v>
      </c>
    </row>
    <row r="7" customFormat="false" ht="68.65" hidden="false" customHeight="false" outlineLevel="0" collapsed="false">
      <c r="A7" s="1" t="n">
        <v>4</v>
      </c>
      <c r="B7" s="1" t="s">
        <v>19</v>
      </c>
      <c r="C7" s="1" t="n">
        <v>120986</v>
      </c>
      <c r="D7" s="1" t="n">
        <v>121096</v>
      </c>
      <c r="E7" s="10" t="s">
        <v>75</v>
      </c>
      <c r="G7" s="1" t="s">
        <v>6</v>
      </c>
    </row>
    <row r="8" customFormat="false" ht="68.65" hidden="false" customHeight="false" outlineLevel="0" collapsed="false">
      <c r="A8" s="1" t="n">
        <v>21</v>
      </c>
      <c r="B8" s="1" t="s">
        <v>22</v>
      </c>
      <c r="C8" s="1" t="n">
        <v>120986</v>
      </c>
      <c r="D8" s="1" t="n">
        <v>121096</v>
      </c>
      <c r="E8" s="10" t="s">
        <v>75</v>
      </c>
      <c r="G8" s="1" t="s">
        <v>6</v>
      </c>
    </row>
    <row r="9" customFormat="false" ht="41.75" hidden="false" customHeight="false" outlineLevel="0" collapsed="false">
      <c r="A9" s="1" t="n">
        <v>6</v>
      </c>
      <c r="B9" s="1" t="s">
        <v>23</v>
      </c>
      <c r="C9" s="1" t="n">
        <v>52111</v>
      </c>
      <c r="D9" s="1" t="n">
        <v>52242</v>
      </c>
      <c r="E9" s="10" t="s">
        <v>76</v>
      </c>
      <c r="G9" s="1" t="s">
        <v>6</v>
      </c>
    </row>
    <row r="10" customFormat="false" ht="41.75" hidden="false" customHeight="false" outlineLevel="0" collapsed="false">
      <c r="A10" s="1" t="n">
        <v>7</v>
      </c>
      <c r="B10" s="1" t="s">
        <v>20</v>
      </c>
      <c r="C10" s="1" t="n">
        <v>52111</v>
      </c>
      <c r="D10" s="1" t="n">
        <v>52242</v>
      </c>
      <c r="E10" s="10" t="s">
        <v>76</v>
      </c>
      <c r="G10" s="1" t="s">
        <v>6</v>
      </c>
    </row>
    <row r="11" customFormat="false" ht="108.95" hidden="false" customHeight="false" outlineLevel="0" collapsed="false">
      <c r="A11" s="1" t="n">
        <v>9</v>
      </c>
      <c r="B11" s="1" t="s">
        <v>14</v>
      </c>
      <c r="C11" s="1" t="n">
        <v>11807</v>
      </c>
      <c r="D11" s="1" t="n">
        <v>12401</v>
      </c>
      <c r="E11" s="10" t="s">
        <v>77</v>
      </c>
      <c r="G11" s="1" t="s">
        <v>9</v>
      </c>
    </row>
    <row r="12" customFormat="false" ht="108.95" hidden="false" customHeight="false" outlineLevel="0" collapsed="false">
      <c r="A12" s="1" t="n">
        <v>28</v>
      </c>
      <c r="B12" s="1" t="s">
        <v>21</v>
      </c>
      <c r="C12" s="1" t="n">
        <v>11807</v>
      </c>
      <c r="D12" s="1" t="n">
        <v>12401</v>
      </c>
      <c r="E12" s="10" t="s">
        <v>77</v>
      </c>
      <c r="G12" s="1" t="s">
        <v>9</v>
      </c>
    </row>
    <row r="13" customFormat="false" ht="41.75" hidden="false" customHeight="false" outlineLevel="0" collapsed="false">
      <c r="A13" s="1" t="n">
        <v>24</v>
      </c>
      <c r="B13" s="1" t="s">
        <v>24</v>
      </c>
      <c r="C13" s="1" t="n">
        <v>5849</v>
      </c>
      <c r="D13" s="1" t="n">
        <v>6059</v>
      </c>
      <c r="E13" s="10" t="s">
        <v>78</v>
      </c>
      <c r="G13" s="1" t="s">
        <v>9</v>
      </c>
    </row>
    <row r="14" customFormat="false" ht="41.75" hidden="false" customHeight="false" outlineLevel="0" collapsed="false">
      <c r="A14" s="1" t="n">
        <v>28</v>
      </c>
      <c r="B14" s="1" t="s">
        <v>21</v>
      </c>
      <c r="C14" s="1" t="n">
        <v>5849</v>
      </c>
      <c r="D14" s="1" t="n">
        <v>6059</v>
      </c>
      <c r="E14" s="10" t="s">
        <v>78</v>
      </c>
      <c r="G14" s="1" t="s">
        <v>9</v>
      </c>
    </row>
    <row r="15" customFormat="false" ht="28.35" hidden="false" customHeight="false" outlineLevel="0" collapsed="false">
      <c r="A15" s="1" t="n">
        <v>25</v>
      </c>
      <c r="B15" s="1" t="s">
        <v>13</v>
      </c>
      <c r="C15" s="1" t="n">
        <v>49195</v>
      </c>
      <c r="D15" s="1" t="n">
        <v>49279</v>
      </c>
      <c r="E15" s="10" t="s">
        <v>79</v>
      </c>
      <c r="G15" s="1" t="s">
        <v>10</v>
      </c>
    </row>
    <row r="16" customFormat="false" ht="28.35" hidden="false" customHeight="false" outlineLevel="0" collapsed="false">
      <c r="A16" s="1" t="n">
        <v>28</v>
      </c>
      <c r="B16" s="1" t="s">
        <v>21</v>
      </c>
      <c r="C16" s="1" t="n">
        <v>49195</v>
      </c>
      <c r="D16" s="1" t="n">
        <v>49279</v>
      </c>
      <c r="E16" s="10" t="s">
        <v>79</v>
      </c>
      <c r="G16" s="1" t="s">
        <v>10</v>
      </c>
    </row>
    <row r="17" customFormat="false" ht="28.35" hidden="false" customHeight="false" outlineLevel="0" collapsed="false">
      <c r="A17" s="1" t="n">
        <v>14</v>
      </c>
      <c r="B17" s="1" t="s">
        <v>26</v>
      </c>
      <c r="C17" s="1" t="n">
        <v>49469</v>
      </c>
      <c r="D17" s="1" t="n">
        <v>49534</v>
      </c>
      <c r="E17" s="10" t="s">
        <v>80</v>
      </c>
      <c r="G17" s="1" t="s">
        <v>10</v>
      </c>
    </row>
    <row r="18" customFormat="false" ht="28.35" hidden="false" customHeight="false" outlineLevel="0" collapsed="false">
      <c r="A18" s="1" t="n">
        <v>25</v>
      </c>
      <c r="B18" s="1" t="s">
        <v>13</v>
      </c>
      <c r="C18" s="1" t="n">
        <v>49469</v>
      </c>
      <c r="D18" s="1" t="n">
        <v>49534</v>
      </c>
      <c r="E18" s="10" t="s">
        <v>80</v>
      </c>
      <c r="G18" s="1" t="s">
        <v>10</v>
      </c>
    </row>
    <row r="19" customFormat="false" ht="55.2" hidden="false" customHeight="false" outlineLevel="0" collapsed="false">
      <c r="A19" s="1" t="n">
        <v>14</v>
      </c>
      <c r="B19" s="1" t="s">
        <v>26</v>
      </c>
      <c r="C19" s="1" t="n">
        <v>29016</v>
      </c>
      <c r="D19" s="1" t="n">
        <v>29065</v>
      </c>
      <c r="E19" s="10" t="s">
        <v>81</v>
      </c>
      <c r="G19" s="1" t="s">
        <v>10</v>
      </c>
    </row>
    <row r="20" customFormat="false" ht="55.2" hidden="false" customHeight="false" outlineLevel="0" collapsed="false">
      <c r="A20" s="1" t="n">
        <v>27</v>
      </c>
      <c r="B20" s="1" t="s">
        <v>17</v>
      </c>
      <c r="C20" s="1" t="n">
        <v>29016</v>
      </c>
      <c r="D20" s="1" t="n">
        <v>29065</v>
      </c>
      <c r="E20" s="10" t="s">
        <v>81</v>
      </c>
      <c r="G20" s="1" t="s">
        <v>10</v>
      </c>
    </row>
    <row r="21" customFormat="false" ht="55.2" hidden="false" customHeight="false" outlineLevel="0" collapsed="false">
      <c r="A21" s="1" t="n">
        <v>28</v>
      </c>
      <c r="B21" s="1" t="s">
        <v>21</v>
      </c>
      <c r="C21" s="1" t="n">
        <v>29016</v>
      </c>
      <c r="D21" s="1" t="n">
        <v>29065</v>
      </c>
      <c r="E21" s="10" t="s">
        <v>81</v>
      </c>
      <c r="G21" s="1" t="s">
        <v>10</v>
      </c>
    </row>
    <row r="22" customFormat="false" ht="28.35" hidden="false" customHeight="false" outlineLevel="0" collapsed="false">
      <c r="A22" s="1" t="n">
        <v>4</v>
      </c>
      <c r="B22" s="1" t="s">
        <v>19</v>
      </c>
      <c r="C22" s="1" t="n">
        <v>49538</v>
      </c>
      <c r="D22" s="1" t="n">
        <v>49674</v>
      </c>
      <c r="E22" s="10" t="s">
        <v>82</v>
      </c>
      <c r="G22" s="1" t="s">
        <v>10</v>
      </c>
    </row>
    <row r="23" customFormat="false" ht="28.35" hidden="false" customHeight="false" outlineLevel="0" collapsed="false">
      <c r="A23" s="1" t="n">
        <v>28</v>
      </c>
      <c r="B23" s="1" t="s">
        <v>21</v>
      </c>
      <c r="C23" s="1" t="n">
        <v>49538</v>
      </c>
      <c r="D23" s="1" t="n">
        <v>49674</v>
      </c>
      <c r="E23" s="10" t="s">
        <v>82</v>
      </c>
      <c r="G23" s="1" t="s">
        <v>10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707</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2026-04-16T09:31:03Z</dcterms:created>
  <dc:creator>openpyxl</dc:creator>
  <dc:description/>
  <dc:language>de-DE</dc:language>
  <cp:lastModifiedBy/>
  <dcterms:modified xsi:type="dcterms:W3CDTF">2026-05-07T16:30:15Z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